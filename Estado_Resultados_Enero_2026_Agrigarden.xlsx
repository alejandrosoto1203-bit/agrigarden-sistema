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ortada" sheetId="1" state="visible" r:id="rId3"/>
    <sheet name="Estado de Resultados" sheetId="2" state="visible" r:id="rId4"/>
    <sheet name="Detalle Ingresos" sheetId="3" state="visible" r:id="rId5"/>
    <sheet name="Detalle Egresos" sheetId="4" state="visible" r:id="rId6"/>
    <sheet name="Catálogo de Cuentas" sheetId="5" state="visible" r:id="rId7"/>
    <sheet name="Instrucciones"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Sistema</author>
  </authors>
  <commentList>
    <comment ref="D6" authorId="0">
      <text>
        <r>
          <rPr>
            <sz val="10"/>
            <rFont val="Arial"/>
            <family val="2"/>
          </rPr>
          <t xml:space="preserve">Fuente: tabla 'transacciones' Supabase, tipo='Venta Directa', sucursal='Sur', enero 2026.</t>
        </r>
      </text>
    </comment>
    <comment ref="D7" authorId="0">
      <text>
        <r>
          <rPr>
            <sz val="10"/>
            <rFont val="Arial"/>
            <family val="2"/>
          </rPr>
          <t xml:space="preserve">Fuente: tabla 'transacciones', tipo='Servicio', sucursal='Sur', enero 2026.</t>
        </r>
      </text>
    </comment>
    <comment ref="D12" authorId="0">
      <text>
        <r>
          <rPr>
            <sz val="10"/>
            <rFont val="Arial"/>
            <family val="2"/>
          </rPr>
          <t xml:space="preserve">Fuente: tabla 'inventario_mensual', mes=1, año=2026, sucursal='Sur', campo monto_inicial.</t>
        </r>
      </text>
    </comment>
    <comment ref="D13" authorId="0">
      <text>
        <r>
          <rPr>
            <sz val="10"/>
            <rFont val="Arial"/>
            <family val="2"/>
          </rPr>
          <t xml:space="preserve">Fuente: tabla 'gastos', categoria='Costo', subcategoria='Mercancia', sucursal='Sur', enero 2026.</t>
        </r>
      </text>
    </comment>
    <comment ref="D14" authorId="0">
      <text>
        <r>
          <rPr>
            <sz val="10"/>
            <rFont val="Arial"/>
            <family val="2"/>
          </rPr>
          <t xml:space="preserve">Fuente: tabla 'inventario_mensual', mes=1, año=2026, sucursal='Sur', campo monto_final.</t>
        </r>
      </text>
    </comment>
  </commentList>
</comments>
</file>

<file path=xl/sharedStrings.xml><?xml version="1.0" encoding="utf-8"?>
<sst xmlns="http://schemas.openxmlformats.org/spreadsheetml/2006/main" count="295" uniqueCount="233">
  <si>
    <t xml:space="preserve">AGRIGARDEN</t>
  </si>
  <si>
    <t xml:space="preserve">ESTADO DE RESULTADOS</t>
  </si>
  <si>
    <t xml:space="preserve">Por el período del 1 al 31 de Enero de 2026</t>
  </si>
  <si>
    <t xml:space="preserve">Cifras expresadas en pesos mexicanos (MXN)</t>
  </si>
  <si>
    <t xml:space="preserve">ESTRUCTURA DEL ESTADO DE RESULTADOS</t>
  </si>
  <si>
    <t xml:space="preserve">(+)  Ingresos por Ventas Directas y Servicios</t>
  </si>
  <si>
    <t xml:space="preserve">Tabla 'transacciones' del sistema (excluye ABONO, TRASPASO, COBRANZA y RENTA).</t>
  </si>
  <si>
    <t xml:space="preserve">(–)  Costo de Ventas</t>
  </si>
  <si>
    <t xml:space="preserve">Inv. Inicial + Compras de Mercancía – Inv. Final  (gastos.subcategoria='Mercancia').</t>
  </si>
  <si>
    <t xml:space="preserve"> =  Utilidad Bruta</t>
  </si>
  <si>
    <t xml:space="preserve">Margen sobre el costo directo del inventario vendido.</t>
  </si>
  <si>
    <t xml:space="preserve">(–)  Gastos de Operación</t>
  </si>
  <si>
    <t xml:space="preserve">Tabla 'gastos' con categoria='Gasto'  (Nómina, Renta, Servicios, Marketing, etc.).</t>
  </si>
  <si>
    <t xml:space="preserve"> =  Utilidad de Operación (EBITDA-like)</t>
  </si>
  <si>
    <t xml:space="preserve">Resultado antes de gastos financieros y contables.</t>
  </si>
  <si>
    <t xml:space="preserve">(–)  Gastos Financieros</t>
  </si>
  <si>
    <t xml:space="preserve">categoria='Gasto Financiero'  +  comisiones bancarias de transacciones.</t>
  </si>
  <si>
    <t xml:space="preserve">(–)  Gastos Contables</t>
  </si>
  <si>
    <t xml:space="preserve">categoria='Gasto Contable'  (Depreciación, Honorarios, Impuestos).</t>
  </si>
  <si>
    <t xml:space="preserve"> =  UTILIDAD NETA DEL PERÍODO</t>
  </si>
  <si>
    <t xml:space="preserve">Resultado final reportado por sucursal y consolidado.</t>
  </si>
  <si>
    <t xml:space="preserve">NOTAS IMPORTANTES</t>
  </si>
  <si>
    <t xml:space="preserve">• Las cifras del sistema residen en la base de datos Supabase (no se accede ni se modifica desde este archivo).</t>
  </si>
  <si>
    <t xml:space="preserve">• Las celdas con fondo amarillo son CAPTURABLES — el resto son fórmulas calculadas automáticamente.</t>
  </si>
  <si>
    <t xml:space="preserve">• El sistema separa por sucursal: Sur, Norte y Matriz (gastos administrativos).</t>
  </si>
  <si>
    <t xml:space="preserve">• ABONOS, TRASPASOS, COBRANZA y RENTAS se excluyen de los ingresos (regla del módulo estado_resultados.js).</t>
  </si>
  <si>
    <t xml:space="preserve">• Las comisiones bancarias se reportan dentro de Gastos Financieros (informativo).</t>
  </si>
  <si>
    <t xml:space="preserve">• Los Pagos de Pasivo solo afectan al P&amp;L cuando son 'Abono Capital' o 'Intereses'.</t>
  </si>
  <si>
    <t xml:space="preserve">Preparado por: Análisis Financiero  |  Fecha de emisión: 30 de abril de 2026</t>
  </si>
  <si>
    <t xml:space="preserve">AGRIGARDEN  ·  ESTADO DE RESULTADOS  ·  ENERO 2026</t>
  </si>
  <si>
    <t xml:space="preserve">#</t>
  </si>
  <si>
    <t xml:space="preserve">CONCEPTO</t>
  </si>
  <si>
    <t xml:space="preserve">SUCURSAL SUR</t>
  </si>
  <si>
    <t xml:space="preserve">SUCURSAL NORTE</t>
  </si>
  <si>
    <t xml:space="preserve">MATRIZ</t>
  </si>
  <si>
    <t xml:space="preserve">CONSOLIDADO</t>
  </si>
  <si>
    <t xml:space="preserve">% INGRESOS</t>
  </si>
  <si>
    <t xml:space="preserve">INGRESOS</t>
  </si>
  <si>
    <t xml:space="preserve">4.1.01</t>
  </si>
  <si>
    <t xml:space="preserve">Ventas Directas (productos)</t>
  </si>
  <si>
    <t xml:space="preserve">4.1.02</t>
  </si>
  <si>
    <t xml:space="preserve">Servicios (taller / asesoría / instalación)</t>
  </si>
  <si>
    <t xml:space="preserve">TOTAL INGRESOS</t>
  </si>
  <si>
    <t xml:space="preserve">↳ Cobrado en el período (Pagado)</t>
  </si>
  <si>
    <t xml:space="preserve">↳ Por Cobrar (Pendiente / Crédito)</t>
  </si>
  <si>
    <t xml:space="preserve">COSTO DE VENTAS</t>
  </si>
  <si>
    <t xml:space="preserve">5.1.01</t>
  </si>
  <si>
    <t xml:space="preserve">(+) Inventario Inicial</t>
  </si>
  <si>
    <t xml:space="preserve">5.1.02</t>
  </si>
  <si>
    <t xml:space="preserve">(+) Compras de Mercancía (Costo · Mercancia)</t>
  </si>
  <si>
    <t xml:space="preserve">5.1.03</t>
  </si>
  <si>
    <t xml:space="preserve">(–) Inventario Final</t>
  </si>
  <si>
    <t xml:space="preserve"> =  Costo de Ventas</t>
  </si>
  <si>
    <t xml:space="preserve"> =  UTILIDAD BRUTA</t>
  </si>
  <si>
    <t xml:space="preserve">Margen Bruto</t>
  </si>
  <si>
    <t xml:space="preserve">GASTOS DE OPERACIÓN  ·  categoria='Gasto'</t>
  </si>
  <si>
    <t xml:space="preserve">6.1.01</t>
  </si>
  <si>
    <t xml:space="preserve">Nómina y Sueldos</t>
  </si>
  <si>
    <t xml:space="preserve">6.1.02</t>
  </si>
  <si>
    <t xml:space="preserve">Renta de Inmuebles</t>
  </si>
  <si>
    <t xml:space="preserve">6.1.03</t>
  </si>
  <si>
    <t xml:space="preserve">Servicios (luz, agua, internet, teléfono)</t>
  </si>
  <si>
    <t xml:space="preserve">6.1.04</t>
  </si>
  <si>
    <t xml:space="preserve">Mantenimiento</t>
  </si>
  <si>
    <t xml:space="preserve">6.1.05</t>
  </si>
  <si>
    <t xml:space="preserve">Marketing y Publicidad</t>
  </si>
  <si>
    <t xml:space="preserve">6.1.06</t>
  </si>
  <si>
    <t xml:space="preserve">Combustible y Flotilla</t>
  </si>
  <si>
    <t xml:space="preserve">6.1.07</t>
  </si>
  <si>
    <t xml:space="preserve">Limpieza</t>
  </si>
  <si>
    <t xml:space="preserve">6.1.08</t>
  </si>
  <si>
    <t xml:space="preserve">Papelería</t>
  </si>
  <si>
    <t xml:space="preserve">6.1.09</t>
  </si>
  <si>
    <t xml:space="preserve">Sistemas e Informática</t>
  </si>
  <si>
    <t xml:space="preserve">6.1.10</t>
  </si>
  <si>
    <t xml:space="preserve">Taller</t>
  </si>
  <si>
    <t xml:space="preserve">6.1.11</t>
  </si>
  <si>
    <t xml:space="preserve">Administrativos</t>
  </si>
  <si>
    <t xml:space="preserve">6.1.12</t>
  </si>
  <si>
    <t xml:space="preserve">Otros Gastos de Operación</t>
  </si>
  <si>
    <t xml:space="preserve"> =  Total Gastos de Operación</t>
  </si>
  <si>
    <t xml:space="preserve"> =  UTILIDAD DE OPERACIÓN</t>
  </si>
  <si>
    <t xml:space="preserve">Margen Operativo</t>
  </si>
  <si>
    <t xml:space="preserve">GASTOS FINANCIEROS  ·  categoria='Gasto Financiero'</t>
  </si>
  <si>
    <t xml:space="preserve">7.1.01</t>
  </si>
  <si>
    <t xml:space="preserve">Intereses Financieros</t>
  </si>
  <si>
    <t xml:space="preserve">7.1.02</t>
  </si>
  <si>
    <t xml:space="preserve">Comisiones Bancarias / Tarjeta</t>
  </si>
  <si>
    <t xml:space="preserve">7.1.03</t>
  </si>
  <si>
    <t xml:space="preserve">Otros Cargos Financieros</t>
  </si>
  <si>
    <t xml:space="preserve"> =  Total Gastos Financieros</t>
  </si>
  <si>
    <t xml:space="preserve">GASTOS CONTABLES  ·  categoria='Gasto Contable'</t>
  </si>
  <si>
    <t xml:space="preserve">8.1.01</t>
  </si>
  <si>
    <t xml:space="preserve">Depreciación</t>
  </si>
  <si>
    <t xml:space="preserve">8.1.02</t>
  </si>
  <si>
    <t xml:space="preserve">Honorarios Contables</t>
  </si>
  <si>
    <t xml:space="preserve">8.1.03</t>
  </si>
  <si>
    <t xml:space="preserve">Impuestos y Derechos</t>
  </si>
  <si>
    <t xml:space="preserve">8.1.04</t>
  </si>
  <si>
    <t xml:space="preserve">Otros Gastos Contables</t>
  </si>
  <si>
    <t xml:space="preserve"> =  Total Gastos Contables</t>
  </si>
  <si>
    <t xml:space="preserve">UTILIDAD NETA DEL PERÍODO</t>
  </si>
  <si>
    <t xml:space="preserve">Margen Neto</t>
  </si>
  <si>
    <t xml:space="preserve">DETALLE DE INGRESOS  ·  ENERO 2026</t>
  </si>
  <si>
    <t xml:space="preserve">TIPO DE INGRESO</t>
  </si>
  <si>
    <t xml:space="preserve">TOTAL</t>
  </si>
  <si>
    <t xml:space="preserve">Ventas Directas — Mostrador / POS</t>
  </si>
  <si>
    <t xml:space="preserve">Ventas Directas — Crédito a Clientes</t>
  </si>
  <si>
    <t xml:space="preserve">Ventas Directas — Mayoreo</t>
  </si>
  <si>
    <t xml:space="preserve">Servicios — Instalación / Asesoría</t>
  </si>
  <si>
    <t xml:space="preserve">Servicios — Taller / Reparación</t>
  </si>
  <si>
    <t xml:space="preserve">Servicios — Otros</t>
  </si>
  <si>
    <t xml:space="preserve">Conciliación con la hoja 'Estado de Resultados'</t>
  </si>
  <si>
    <t xml:space="preserve">Total Ingresos en hoja Estado Resultados (G8)</t>
  </si>
  <si>
    <t xml:space="preserve">Total Ingresos en este detalle</t>
  </si>
  <si>
    <t xml:space="preserve">Diferencia (debe ser 0)</t>
  </si>
  <si>
    <t xml:space="preserve">Nota: Excluir ABONO, TRASPASO, COBRANZA y RENTA. Solo Ventas Directas y Servicios suman ingresos.</t>
  </si>
  <si>
    <t xml:space="preserve">DETALLE DE EGRESOS  ·  ENERO 2026</t>
  </si>
  <si>
    <t xml:space="preserve">CATEGORÍA</t>
  </si>
  <si>
    <t xml:space="preserve">SUBCATEGORÍA</t>
  </si>
  <si>
    <t xml:space="preserve">Costo (Costo de Ventas)</t>
  </si>
  <si>
    <t xml:space="preserve">Mercancia</t>
  </si>
  <si>
    <t xml:space="preserve">Gasto (Gasto de Operación)</t>
  </si>
  <si>
    <t xml:space="preserve">Nomina</t>
  </si>
  <si>
    <t xml:space="preserve">Renta</t>
  </si>
  <si>
    <t xml:space="preserve">Servicios</t>
  </si>
  <si>
    <t xml:space="preserve">Marketing</t>
  </si>
  <si>
    <t xml:space="preserve">Combustible</t>
  </si>
  <si>
    <t xml:space="preserve">Papeleria</t>
  </si>
  <si>
    <t xml:space="preserve">Sistemas</t>
  </si>
  <si>
    <t xml:space="preserve">Otros</t>
  </si>
  <si>
    <t xml:space="preserve">Gasto Financiero</t>
  </si>
  <si>
    <t xml:space="preserve">Comisión Tarjeta</t>
  </si>
  <si>
    <t xml:space="preserve">Comisiones Bancarias</t>
  </si>
  <si>
    <t xml:space="preserve">Gasto Contable</t>
  </si>
  <si>
    <t xml:space="preserve">Impuestos</t>
  </si>
  <si>
    <t xml:space="preserve">Otros Contables</t>
  </si>
  <si>
    <t xml:space="preserve">SUBTOTALES POR CATEGORÍA</t>
  </si>
  <si>
    <t xml:space="preserve">TOTAL EGRESOS</t>
  </si>
  <si>
    <t xml:space="preserve">CATÁLOGO DE CUENTAS DEL ESTADO DE RESULTADOS</t>
  </si>
  <si>
    <t xml:space="preserve">CÓDIGO</t>
  </si>
  <si>
    <t xml:space="preserve">CUENTA</t>
  </si>
  <si>
    <t xml:space="preserve">TIPO (Sistema)</t>
  </si>
  <si>
    <t xml:space="preserve">DESCRIPCIÓN / REGLA</t>
  </si>
  <si>
    <t xml:space="preserve">Ventas Directas</t>
  </si>
  <si>
    <t xml:space="preserve">tipo='Venta Directa'</t>
  </si>
  <si>
    <t xml:space="preserve">Venta de mercancía en mostrador, mayoreo y crédito. Excluye abonos.</t>
  </si>
  <si>
    <t xml:space="preserve">tipo='Servicio'</t>
  </si>
  <si>
    <t xml:space="preserve">Servicios de taller, reparación, instalación, asesoría.</t>
  </si>
  <si>
    <t xml:space="preserve">4.1.03</t>
  </si>
  <si>
    <t xml:space="preserve">↳ Cobrado</t>
  </si>
  <si>
    <t xml:space="preserve">estado_cobro='Pagado'</t>
  </si>
  <si>
    <t xml:space="preserve">Informativo: porción de ingresos efectivamente cobrada en el mes.</t>
  </si>
  <si>
    <t xml:space="preserve">4.1.04</t>
  </si>
  <si>
    <t xml:space="preserve">↳ Por Cobrar</t>
  </si>
  <si>
    <t xml:space="preserve">estado_cobro='Pendiente'</t>
  </si>
  <si>
    <t xml:space="preserve">Informativo: ingresos a crédito generados en el mes (cuentas por cobrar).</t>
  </si>
  <si>
    <t xml:space="preserve">Inventario Inicial</t>
  </si>
  <si>
    <t xml:space="preserve">inventario_mensual.monto_inicial</t>
  </si>
  <si>
    <t xml:space="preserve">Saldo de inventario valorado al 1° del mes por sucursal.</t>
  </si>
  <si>
    <t xml:space="preserve">Compras de Mercancía</t>
  </si>
  <si>
    <t xml:space="preserve">categoria='Costo' / subcategoria='Mercancia'</t>
  </si>
  <si>
    <t xml:space="preserve">Compras de producto para reventa registradas en el mes.</t>
  </si>
  <si>
    <t xml:space="preserve">Inventario Final</t>
  </si>
  <si>
    <t xml:space="preserve">inventario_mensual.monto_final</t>
  </si>
  <si>
    <t xml:space="preserve">Saldo de inventario valorado al último día del mes (resta del costo de ventas).</t>
  </si>
  <si>
    <t xml:space="preserve">Nómina</t>
  </si>
  <si>
    <t xml:space="preserve">categoria='Gasto' / subcategoria='Nomina'</t>
  </si>
  <si>
    <t xml:space="preserve">Sueldos, comisiones, bonos, IMSS, prestaciones.</t>
  </si>
  <si>
    <t xml:space="preserve">categoria='Gasto' / subcategoria='Renta'</t>
  </si>
  <si>
    <t xml:space="preserve">Renta de inmuebles. NOTA: si fue ingreso por renta, se EXCLUYE del P&amp;L.</t>
  </si>
  <si>
    <t xml:space="preserve">categoria='Gasto' / subcategoria='Servicios'</t>
  </si>
  <si>
    <t xml:space="preserve">Luz, agua, gas, internet, telefonía.</t>
  </si>
  <si>
    <t xml:space="preserve">categoria='Gasto' / subcategoria='Mantenimiento'</t>
  </si>
  <si>
    <t xml:space="preserve">Mantenimiento preventivo y correctivo de inmuebles, equipos.</t>
  </si>
  <si>
    <t xml:space="preserve">categoria='Gasto' / subcategoria='Marketing'</t>
  </si>
  <si>
    <t xml:space="preserve">Publicidad, redes sociales, eventos, material promocional.</t>
  </si>
  <si>
    <t xml:space="preserve">categoria='Gasto' / subcategoria='Combustible'</t>
  </si>
  <si>
    <t xml:space="preserve">Gasolina y diésel para flotilla.</t>
  </si>
  <si>
    <t xml:space="preserve">categoria='Gasto' / subcategoria='Limpieza'</t>
  </si>
  <si>
    <t xml:space="preserve">Productos y servicios de limpieza.</t>
  </si>
  <si>
    <t xml:space="preserve">categoria='Gasto' / subcategoria='Papeleria'</t>
  </si>
  <si>
    <t xml:space="preserve">Insumos de oficina.</t>
  </si>
  <si>
    <t xml:space="preserve">categoria='Gasto' / subcategoria='Sistemas'</t>
  </si>
  <si>
    <t xml:space="preserve">Software, licencias, soporte técnico.</t>
  </si>
  <si>
    <t xml:space="preserve">categoria='Gasto' / subcategoria='Taller'</t>
  </si>
  <si>
    <t xml:space="preserve">Refacciones, herramientas y consumibles del taller.</t>
  </si>
  <si>
    <t xml:space="preserve">categoria='Gasto' / subcategoria='Administrativos'</t>
  </si>
  <si>
    <t xml:space="preserve">Gastos administrativos varios.</t>
  </si>
  <si>
    <t xml:space="preserve">Otros Gastos Operativos</t>
  </si>
  <si>
    <t xml:space="preserve">categoria='Gasto' / subcategoria='otros'</t>
  </si>
  <si>
    <t xml:space="preserve">Catch-all para gastos operativos no clasificados.</t>
  </si>
  <si>
    <t xml:space="preserve">categoria='Gasto Financiero' / subcategoria='Intereses'</t>
  </si>
  <si>
    <t xml:space="preserve">Intereses sobre préstamos bancarios y crédito.</t>
  </si>
  <si>
    <t xml:space="preserve">categoria='Gasto Financiero' / subcategoria='Comisión Tarjeta'</t>
  </si>
  <si>
    <t xml:space="preserve">Comisiones cobradas por terminales bancarias.</t>
  </si>
  <si>
    <t xml:space="preserve">transacciones.comision_bancaria</t>
  </si>
  <si>
    <t xml:space="preserve">Suma del campo comision_bancaria en transacciones del mes.</t>
  </si>
  <si>
    <t xml:space="preserve">categoria='Gasto Contable' / subcategoria='Depreciación'</t>
  </si>
  <si>
    <t xml:space="preserve">Depreciación de activos fijos.</t>
  </si>
  <si>
    <t xml:space="preserve">categoria='Gasto Contable'</t>
  </si>
  <si>
    <t xml:space="preserve">Honorarios del despacho contable / fiscal.</t>
  </si>
  <si>
    <t xml:space="preserve">Impuestos no acreditables, derechos, contribuciones.</t>
  </si>
  <si>
    <t xml:space="preserve">categoria='Gasto Contable' / subcategoria='otros'</t>
  </si>
  <si>
    <t xml:space="preserve">Otros gastos contables no clasificados.</t>
  </si>
  <si>
    <t xml:space="preserve">INSTRUCCIONES DE USO</t>
  </si>
  <si>
    <t xml:space="preserve">OBJETIVO</t>
  </si>
  <si>
    <t xml:space="preserve">Este libro de Excel contiene la estructura completa del Estado de Resultados de Agrigarden para el mes de Enero 2026, alineada exactamente con la lógica contable que usa el sistema interno (módulo estado_resultados.js). Las cifras numéricas se deben capturar a partir de los reportes que el sistema muestra para el período (ya sea desde la pantalla de Estado de Resultados o desde los exportes de Gastos / Ingresos en el sistema).</t>
  </si>
  <si>
    <t xml:space="preserve">¿POR QUÉ SE ENTREGA COMO PLANTILLA Y NO CON CIFRAS YA LLENAS?</t>
  </si>
  <si>
    <t xml:space="preserve">Los datos transaccionales del sistema agrigarden viven en una base de datos remota (Supabase). El código fuente local solo contiene los archivos de la aplicación web (HTML/JS/SQL de esquemas), no las transacciones reales. Por esa razón este Excel se entrega listo para capturar — sin tocar el código del sistema y sin alterar ningún archivo del repositorio.</t>
  </si>
  <si>
    <t xml:space="preserve">FLUJO DE TRABAJO RECOMENDADO</t>
  </si>
  <si>
    <t xml:space="preserve">1.  Entra al sistema → módulo  Egresos  →  filtra por enero 2026  →  Exportar Excel.</t>
  </si>
  <si>
    <t xml:space="preserve">2.  Entra al sistema → módulo  Ingresos / Ventas  →  filtra por enero 2026  →  Exportar Excel.</t>
  </si>
  <si>
    <t xml:space="preserve">3.  En el módulo  Estado de Resultados  toma los totales por sucursal mostrados en pantalla.</t>
  </si>
  <si>
    <t xml:space="preserve">4.  Captura las cifras en las celdas amarillas de las hojas: 'Estado de Resultados', 'Detalle Ingresos' y 'Detalle Egresos'.</t>
  </si>
  <si>
    <t xml:space="preserve">5.  Verifica la fila 'Diferencia (debe ser 0)' en 'Detalle Ingresos'. Si no es 0, revisa partidas excluidas (abonos, traspasos, cobranza, renta).</t>
  </si>
  <si>
    <t xml:space="preserve">LEYENDA DE COLORES</t>
  </si>
  <si>
    <t xml:space="preserve">Celdas amarillas: capturables (texto azul = input numérico).</t>
  </si>
  <si>
    <t xml:space="preserve">Texto negro: fórmulas calculadas — no las modifiques.</t>
  </si>
  <si>
    <t xml:space="preserve">Subtotales emerald / red / orange / purple: corresponden a los grupos del sistema.</t>
  </si>
  <si>
    <t xml:space="preserve">Banda azul marino con texto blanco = utilidad neta final.</t>
  </si>
  <si>
    <t xml:space="preserve">REGLAS CONTABLES APLICADAS (idénticas al sistema)</t>
  </si>
  <si>
    <t xml:space="preserve">Ingresos = Suma de transacciones cuyo tipo es 'Venta Directa' o 'Servicio'.  Se EXCLUYEN: ABONO, TRASPASO, COBRANZA y cualquier categoría que contenga 'RENTA'.</t>
  </si>
  <si>
    <t xml:space="preserve">Costo de Ventas = Inventario Inicial + Compras (categoría 'Costo' / subcategoría 'Mercancia') – Inventario Final.</t>
  </si>
  <si>
    <t xml:space="preserve">Utilidad Bruta = Ingresos – Costo de Ventas.</t>
  </si>
  <si>
    <t xml:space="preserve">Utilidad de Operación = Utilidad Bruta – Gastos de Operación (categoría 'Gasto').</t>
  </si>
  <si>
    <t xml:space="preserve">Utilidad Neta = Utilidad de Operación – Gastos Financieros (incluye comisiones bancarias) – Gastos Contables.</t>
  </si>
  <si>
    <t xml:space="preserve">PARTIDAS QUE NO ENTRAN AL ESTADO DE RESULTADOS</t>
  </si>
  <si>
    <t xml:space="preserve">•  Pago de Pasivo (excepto cuando la subcategoría es 'Abono Capital', que se considera financiamiento).</t>
  </si>
  <si>
    <t xml:space="preserve">•  Préstamo Empleado (cuenta por cobrar / activo, no es gasto).</t>
  </si>
  <si>
    <t xml:space="preserve">•  Traspasos entre cuentas bancarias o entre sucursales.</t>
  </si>
  <si>
    <t xml:space="preserve">•  Cobranza (aplicación de pagos sobre ventas previas, ya reconocidas como ingreso al momento de la venta).</t>
  </si>
  <si>
    <t xml:space="preserve">•  Ingresos por renta de equipo / inmuebles (regla del sistema: se excluyen del P&amp;L operativo).</t>
  </si>
</sst>
</file>

<file path=xl/styles.xml><?xml version="1.0" encoding="utf-8"?>
<styleSheet xmlns="http://schemas.openxmlformats.org/spreadsheetml/2006/main">
  <numFmts count="3">
    <numFmt numFmtId="164" formatCode="General"/>
    <numFmt numFmtId="165" formatCode="_-\$* #,##0.00_-;[RED]\(_-\$* #,##0.00_-\);_-\$* \-??_-;_-@_-"/>
    <numFmt numFmtId="166" formatCode="0.0%;[RED]\(0.0%\);\-"/>
  </numFmts>
  <fonts count="38">
    <font>
      <sz val="11"/>
      <color theme="1"/>
      <name val="Calibri"/>
      <family val="2"/>
      <charset val="1"/>
    </font>
    <font>
      <sz val="10"/>
      <name val="Arial"/>
      <family val="0"/>
    </font>
    <font>
      <sz val="10"/>
      <name val="Arial"/>
      <family val="0"/>
    </font>
    <font>
      <sz val="10"/>
      <name val="Arial"/>
      <family val="0"/>
    </font>
    <font>
      <b val="true"/>
      <i val="true"/>
      <sz val="11"/>
      <color rgb="FF059669"/>
      <name val="Arial"/>
      <family val="0"/>
      <charset val="1"/>
    </font>
    <font>
      <b val="true"/>
      <sz val="32"/>
      <color rgb="FF1E293B"/>
      <name val="Arial"/>
      <family val="0"/>
      <charset val="1"/>
    </font>
    <font>
      <i val="true"/>
      <sz val="14"/>
      <color rgb="FF334155"/>
      <name val="Arial"/>
      <family val="0"/>
      <charset val="1"/>
    </font>
    <font>
      <i val="true"/>
      <sz val="10"/>
      <color rgb="FF94A3B8"/>
      <name val="Arial"/>
      <family val="0"/>
      <charset val="1"/>
    </font>
    <font>
      <b val="true"/>
      <sz val="11"/>
      <color rgb="FFFFFFFF"/>
      <name val="Arial"/>
      <family val="0"/>
      <charset val="1"/>
    </font>
    <font>
      <b val="true"/>
      <sz val="10"/>
      <color rgb="FF111827"/>
      <name val="Arial"/>
      <family val="0"/>
      <charset val="1"/>
    </font>
    <font>
      <sz val="10"/>
      <color rgb="FF334155"/>
      <name val="Arial"/>
      <family val="0"/>
      <charset val="1"/>
    </font>
    <font>
      <sz val="10"/>
      <color rgb="FF111827"/>
      <name val="Arial"/>
      <family val="0"/>
      <charset val="1"/>
    </font>
    <font>
      <i val="true"/>
      <sz val="9"/>
      <color rgb="FF94A3B8"/>
      <name val="Arial"/>
      <family val="0"/>
      <charset val="1"/>
    </font>
    <font>
      <b val="true"/>
      <sz val="16"/>
      <color rgb="FFFFFFFF"/>
      <name val="Arial"/>
      <family val="0"/>
      <charset val="1"/>
    </font>
    <font>
      <b val="true"/>
      <sz val="10"/>
      <color rgb="FFFFFFFF"/>
      <name val="Arial"/>
      <family val="0"/>
      <charset val="1"/>
    </font>
    <font>
      <sz val="9"/>
      <color rgb="FF94A3B8"/>
      <name val="Arial"/>
      <family val="0"/>
      <charset val="1"/>
    </font>
    <font>
      <sz val="10"/>
      <color rgb="FF0000FF"/>
      <name val="Arial"/>
      <family val="0"/>
      <charset val="1"/>
    </font>
    <font>
      <b val="true"/>
      <sz val="11"/>
      <color rgb="FF059669"/>
      <name val="Arial"/>
      <family val="0"/>
      <charset val="1"/>
    </font>
    <font>
      <i val="true"/>
      <sz val="10"/>
      <color rgb="FF334155"/>
      <name val="Arial"/>
      <family val="0"/>
      <charset val="1"/>
    </font>
    <font>
      <b val="true"/>
      <sz val="10"/>
      <color rgb="FF334155"/>
      <name val="Arial"/>
      <family val="0"/>
      <charset val="1"/>
    </font>
    <font>
      <i val="true"/>
      <sz val="10"/>
      <color rgb="FFD97706"/>
      <name val="Arial"/>
      <family val="0"/>
      <charset val="1"/>
    </font>
    <font>
      <b val="true"/>
      <sz val="10"/>
      <color rgb="FFD97706"/>
      <name val="Arial"/>
      <family val="0"/>
      <charset val="1"/>
    </font>
    <font>
      <sz val="10"/>
      <color rgb="FFDC2626"/>
      <name val="Arial"/>
      <family val="0"/>
      <charset val="1"/>
    </font>
    <font>
      <b val="true"/>
      <sz val="10"/>
      <color rgb="FFDC2626"/>
      <name val="Arial"/>
      <family val="0"/>
      <charset val="1"/>
    </font>
    <font>
      <b val="true"/>
      <sz val="10"/>
      <color rgb="FF2563EB"/>
      <name val="Arial"/>
      <family val="0"/>
      <charset val="1"/>
    </font>
    <font>
      <b val="true"/>
      <sz val="12"/>
      <color rgb="FF1E293B"/>
      <name val="Arial"/>
      <family val="0"/>
      <charset val="1"/>
    </font>
    <font>
      <b val="true"/>
      <sz val="10"/>
      <color rgb="FF1E293B"/>
      <name val="Arial"/>
      <family val="0"/>
      <charset val="1"/>
    </font>
    <font>
      <b val="true"/>
      <sz val="10"/>
      <color rgb="FFEA580C"/>
      <name val="Arial"/>
      <family val="0"/>
      <charset val="1"/>
    </font>
    <font>
      <b val="true"/>
      <sz val="10"/>
      <color rgb="FF7C3AED"/>
      <name val="Arial"/>
      <family val="0"/>
      <charset val="1"/>
    </font>
    <font>
      <b val="true"/>
      <sz val="13"/>
      <color rgb="FFFFFFFF"/>
      <name val="Arial"/>
      <family val="0"/>
      <charset val="1"/>
    </font>
    <font>
      <b val="true"/>
      <sz val="11"/>
      <color rgb="FFDCFCE7"/>
      <name val="Arial"/>
      <family val="0"/>
      <charset val="1"/>
    </font>
    <font>
      <b val="true"/>
      <i val="true"/>
      <sz val="10"/>
      <color rgb="FF1E293B"/>
      <name val="Arial"/>
      <family val="0"/>
      <charset val="1"/>
    </font>
    <font>
      <sz val="10"/>
      <name val="Arial"/>
      <family val="2"/>
    </font>
    <font>
      <b val="true"/>
      <sz val="14"/>
      <color rgb="FFFFFFFF"/>
      <name val="Arial"/>
      <family val="0"/>
      <charset val="1"/>
    </font>
    <font>
      <b val="true"/>
      <sz val="10"/>
      <name val="Arial"/>
      <family val="0"/>
      <charset val="1"/>
    </font>
    <font>
      <b val="true"/>
      <sz val="9"/>
      <color rgb="FF1E293B"/>
      <name val="Arial"/>
      <family val="0"/>
      <charset val="1"/>
    </font>
    <font>
      <sz val="9"/>
      <color rgb="FF334155"/>
      <name val="Arial"/>
      <family val="0"/>
      <charset val="1"/>
    </font>
    <font>
      <b val="true"/>
      <sz val="16"/>
      <color rgb="FF1E293B"/>
      <name val="Arial"/>
      <family val="0"/>
      <charset val="1"/>
    </font>
  </fonts>
  <fills count="17">
    <fill>
      <patternFill patternType="none"/>
    </fill>
    <fill>
      <patternFill patternType="gray125"/>
    </fill>
    <fill>
      <patternFill patternType="solid">
        <fgColor rgb="FF1E293B"/>
        <bgColor rgb="FF111827"/>
      </patternFill>
    </fill>
    <fill>
      <patternFill patternType="solid">
        <fgColor rgb="FF334155"/>
        <bgColor rgb="FF1E293B"/>
      </patternFill>
    </fill>
    <fill>
      <patternFill patternType="solid">
        <fgColor rgb="FF059669"/>
        <bgColor rgb="FF008080"/>
      </patternFill>
    </fill>
    <fill>
      <patternFill patternType="solid">
        <fgColor rgb="FFFFF9C4"/>
        <bgColor rgb="FFFFEDD5"/>
      </patternFill>
    </fill>
    <fill>
      <patternFill patternType="solid">
        <fgColor rgb="FFDCFCE7"/>
        <bgColor rgb="FFF1F5F9"/>
      </patternFill>
    </fill>
    <fill>
      <patternFill patternType="solid">
        <fgColor rgb="FF2563EB"/>
        <bgColor rgb="FF0066CC"/>
      </patternFill>
    </fill>
    <fill>
      <patternFill patternType="solid">
        <fgColor rgb="FFDBEAFE"/>
        <bgColor rgb="FFE2E8F0"/>
      </patternFill>
    </fill>
    <fill>
      <patternFill patternType="solid">
        <fgColor rgb="FFF1F5F9"/>
        <bgColor rgb="FFF8FAFC"/>
      </patternFill>
    </fill>
    <fill>
      <patternFill patternType="solid">
        <fgColor rgb="FFDC2626"/>
        <bgColor rgb="FFEA580C"/>
      </patternFill>
    </fill>
    <fill>
      <patternFill patternType="solid">
        <fgColor rgb="FFFEE2E2"/>
        <bgColor rgb="FFFFEDD5"/>
      </patternFill>
    </fill>
    <fill>
      <patternFill patternType="solid">
        <fgColor rgb="FFEA580C"/>
        <bgColor rgb="FFD97706"/>
      </patternFill>
    </fill>
    <fill>
      <patternFill patternType="solid">
        <fgColor rgb="FFFFEDD5"/>
        <bgColor rgb="FFFEE2E2"/>
      </patternFill>
    </fill>
    <fill>
      <patternFill patternType="solid">
        <fgColor rgb="FF7C3AED"/>
        <bgColor rgb="FF993366"/>
      </patternFill>
    </fill>
    <fill>
      <patternFill patternType="solid">
        <fgColor rgb="FFEDE9FE"/>
        <bgColor rgb="FFE2E8F0"/>
      </patternFill>
    </fill>
    <fill>
      <patternFill patternType="solid">
        <fgColor rgb="FFF8FAFC"/>
        <bgColor rgb="FFFFFFFF"/>
      </patternFill>
    </fill>
  </fills>
  <borders count="4">
    <border diagonalUp="false" diagonalDown="false">
      <left/>
      <right/>
      <top/>
      <bottom/>
      <diagonal/>
    </border>
    <border diagonalUp="false" diagonalDown="false">
      <left/>
      <right/>
      <top/>
      <bottom style="hair">
        <color rgb="FFE2E8F0"/>
      </bottom>
      <diagonal/>
    </border>
    <border diagonalUp="false" diagonalDown="false">
      <left style="thin">
        <color rgb="FFE2E8F0"/>
      </left>
      <right style="thin">
        <color rgb="FFE2E8F0"/>
      </right>
      <top style="thin">
        <color rgb="FFE2E8F0"/>
      </top>
      <bottom style="thin">
        <color rgb="FFE2E8F0"/>
      </bottom>
      <diagonal/>
    </border>
    <border diagonalUp="false" diagonalDown="false">
      <left style="medium">
        <color rgb="FF94A3B8"/>
      </left>
      <right style="medium">
        <color rgb="FF94A3B8"/>
      </right>
      <top style="medium">
        <color rgb="FF94A3B8"/>
      </top>
      <bottom style="medium">
        <color rgb="FF94A3B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2" shrinkToFit="false"/>
      <protection locked="true" hidden="false"/>
    </xf>
    <xf numFmtId="164" fontId="15"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2" shrinkToFit="false"/>
      <protection locked="true" hidden="false"/>
    </xf>
    <xf numFmtId="165" fontId="16" fillId="5" borderId="2" xfId="0" applyFont="true" applyBorder="true" applyAlignment="true" applyProtection="false">
      <alignment horizontal="right" vertical="center" textRotation="0" wrapText="false" indent="0" shrinkToFit="false"/>
      <protection locked="true" hidden="false"/>
    </xf>
    <xf numFmtId="165" fontId="9" fillId="0" borderId="2" xfId="0" applyFont="true" applyBorder="true" applyAlignment="true" applyProtection="false">
      <alignment horizontal="right" vertical="center" textRotation="0" wrapText="false" indent="0" shrinkToFit="false"/>
      <protection locked="true" hidden="false"/>
    </xf>
    <xf numFmtId="166" fontId="7" fillId="0" borderId="2" xfId="0" applyFont="true" applyBorder="true" applyAlignment="true" applyProtection="false">
      <alignment horizontal="center" vertical="center" textRotation="0" wrapText="true" indent="0" shrinkToFit="false"/>
      <protection locked="true" hidden="false"/>
    </xf>
    <xf numFmtId="164" fontId="15" fillId="6" borderId="2"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left" vertical="center" textRotation="0" wrapText="true" indent="0" shrinkToFit="false"/>
      <protection locked="true" hidden="false"/>
    </xf>
    <xf numFmtId="165" fontId="9" fillId="6" borderId="2" xfId="0" applyFont="true" applyBorder="true" applyAlignment="true" applyProtection="false">
      <alignment horizontal="right" vertical="center" textRotation="0" wrapText="false" indent="0" shrinkToFit="false"/>
      <protection locked="true" hidden="false"/>
    </xf>
    <xf numFmtId="166" fontId="7" fillId="6" borderId="2" xfId="0" applyFont="true" applyBorder="true" applyAlignment="true" applyProtection="false">
      <alignment horizontal="center" vertical="center" textRotation="0" wrapText="true" indent="0" shrinkToFit="false"/>
      <protection locked="true" hidden="false"/>
    </xf>
    <xf numFmtId="164" fontId="18" fillId="0" borderId="2" xfId="0" applyFont="true" applyBorder="true" applyAlignment="true" applyProtection="false">
      <alignment horizontal="left" vertical="center" textRotation="0" wrapText="true" indent="4" shrinkToFit="false"/>
      <protection locked="true" hidden="false"/>
    </xf>
    <xf numFmtId="165" fontId="19" fillId="0" borderId="2" xfId="0" applyFont="true" applyBorder="true" applyAlignment="true" applyProtection="false">
      <alignment horizontal="right"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20" fillId="0" borderId="2" xfId="0" applyFont="true" applyBorder="true" applyAlignment="true" applyProtection="false">
      <alignment horizontal="left" vertical="center" textRotation="0" wrapText="true" indent="4" shrinkToFit="false"/>
      <protection locked="true" hidden="false"/>
    </xf>
    <xf numFmtId="165" fontId="21" fillId="0" borderId="2" xfId="0" applyFont="true" applyBorder="true" applyAlignment="true" applyProtection="false">
      <alignment horizontal="right" vertical="center" textRotation="0" wrapText="false" indent="0" shrinkToFit="false"/>
      <protection locked="true" hidden="false"/>
    </xf>
    <xf numFmtId="164" fontId="8" fillId="7" borderId="2" xfId="0" applyFont="true" applyBorder="true" applyAlignment="true" applyProtection="false">
      <alignment horizontal="left" vertical="center" textRotation="0" wrapText="true" indent="2" shrinkToFit="false"/>
      <protection locked="true" hidden="false"/>
    </xf>
    <xf numFmtId="164" fontId="22" fillId="0" borderId="2" xfId="0" applyFont="true" applyBorder="true" applyAlignment="true" applyProtection="false">
      <alignment horizontal="left" vertical="center" textRotation="0" wrapText="true" indent="2" shrinkToFit="false"/>
      <protection locked="true" hidden="false"/>
    </xf>
    <xf numFmtId="165" fontId="23" fillId="0" borderId="2" xfId="0" applyFont="true" applyBorder="true" applyAlignment="true" applyProtection="false">
      <alignment horizontal="right" vertical="center" textRotation="0" wrapText="false" indent="0" shrinkToFit="false"/>
      <protection locked="true" hidden="false"/>
    </xf>
    <xf numFmtId="164" fontId="15" fillId="8" borderId="2" xfId="0" applyFont="true" applyBorder="true" applyAlignment="true" applyProtection="false">
      <alignment horizontal="center" vertical="center" textRotation="0" wrapText="true" indent="0" shrinkToFit="false"/>
      <protection locked="true" hidden="false"/>
    </xf>
    <xf numFmtId="164" fontId="24" fillId="8" borderId="2" xfId="0" applyFont="true" applyBorder="true" applyAlignment="true" applyProtection="false">
      <alignment horizontal="left" vertical="center" textRotation="0" wrapText="true" indent="0" shrinkToFit="false"/>
      <protection locked="true" hidden="false"/>
    </xf>
    <xf numFmtId="165" fontId="24" fillId="8" borderId="2" xfId="0" applyFont="true" applyBorder="true" applyAlignment="true" applyProtection="false">
      <alignment horizontal="right" vertical="center" textRotation="0" wrapText="false" indent="0" shrinkToFit="false"/>
      <protection locked="true" hidden="false"/>
    </xf>
    <xf numFmtId="166" fontId="7" fillId="8" borderId="2" xfId="0" applyFont="true" applyBorder="true" applyAlignment="true" applyProtection="false">
      <alignment horizontal="center" vertical="center" textRotation="0" wrapText="true" indent="0" shrinkToFit="false"/>
      <protection locked="true" hidden="false"/>
    </xf>
    <xf numFmtId="164" fontId="15" fillId="9" borderId="2" xfId="0" applyFont="true" applyBorder="true" applyAlignment="true" applyProtection="false">
      <alignment horizontal="center" vertical="center" textRotation="0" wrapText="true" indent="0" shrinkToFit="false"/>
      <protection locked="true" hidden="false"/>
    </xf>
    <xf numFmtId="164" fontId="25" fillId="9" borderId="2" xfId="0" applyFont="true" applyBorder="true" applyAlignment="true" applyProtection="false">
      <alignment horizontal="left" vertical="center" textRotation="0" wrapText="true" indent="0" shrinkToFit="false"/>
      <protection locked="true" hidden="false"/>
    </xf>
    <xf numFmtId="165" fontId="26" fillId="9" borderId="2" xfId="0" applyFont="true" applyBorder="true" applyAlignment="true" applyProtection="false">
      <alignment horizontal="right" vertical="center" textRotation="0" wrapText="false" indent="0" shrinkToFit="false"/>
      <protection locked="true" hidden="false"/>
    </xf>
    <xf numFmtId="166" fontId="7" fillId="9"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2" shrinkToFit="false"/>
      <protection locked="true" hidden="false"/>
    </xf>
    <xf numFmtId="166" fontId="7" fillId="0" borderId="2" xfId="0" applyFont="true" applyBorder="true" applyAlignment="true" applyProtection="false">
      <alignment horizontal="right" vertical="center" textRotation="0" wrapText="false" indent="0" shrinkToFit="false"/>
      <protection locked="true" hidden="false"/>
    </xf>
    <xf numFmtId="164" fontId="8" fillId="10" borderId="2" xfId="0" applyFont="true" applyBorder="true" applyAlignment="true" applyProtection="false">
      <alignment horizontal="left" vertical="center" textRotation="0" wrapText="true" indent="2" shrinkToFit="false"/>
      <protection locked="true" hidden="false"/>
    </xf>
    <xf numFmtId="164" fontId="15" fillId="11" borderId="2" xfId="0" applyFont="true" applyBorder="true" applyAlignment="true" applyProtection="false">
      <alignment horizontal="center" vertical="center" textRotation="0" wrapText="true" indent="0" shrinkToFit="false"/>
      <protection locked="true" hidden="false"/>
    </xf>
    <xf numFmtId="164" fontId="23" fillId="11" borderId="2" xfId="0" applyFont="true" applyBorder="true" applyAlignment="true" applyProtection="false">
      <alignment horizontal="left" vertical="center" textRotation="0" wrapText="true" indent="0" shrinkToFit="false"/>
      <protection locked="true" hidden="false"/>
    </xf>
    <xf numFmtId="165" fontId="23" fillId="11" borderId="2" xfId="0" applyFont="true" applyBorder="true" applyAlignment="true" applyProtection="false">
      <alignment horizontal="right" vertical="center" textRotation="0" wrapText="false" indent="0" shrinkToFit="false"/>
      <protection locked="true" hidden="false"/>
    </xf>
    <xf numFmtId="166" fontId="7" fillId="11" borderId="2" xfId="0" applyFont="true" applyBorder="true" applyAlignment="true" applyProtection="false">
      <alignment horizontal="center" vertical="center" textRotation="0" wrapText="true" indent="0" shrinkToFit="false"/>
      <protection locked="true" hidden="false"/>
    </xf>
    <xf numFmtId="164" fontId="8" fillId="12" borderId="2" xfId="0" applyFont="true" applyBorder="true" applyAlignment="true" applyProtection="false">
      <alignment horizontal="left" vertical="center" textRotation="0" wrapText="true" indent="2" shrinkToFit="false"/>
      <protection locked="true" hidden="false"/>
    </xf>
    <xf numFmtId="164" fontId="15" fillId="13" borderId="2" xfId="0" applyFont="true" applyBorder="true" applyAlignment="true" applyProtection="false">
      <alignment horizontal="center" vertical="center" textRotation="0" wrapText="true" indent="0" shrinkToFit="false"/>
      <protection locked="true" hidden="false"/>
    </xf>
    <xf numFmtId="164" fontId="27" fillId="13" borderId="2" xfId="0" applyFont="true" applyBorder="true" applyAlignment="true" applyProtection="false">
      <alignment horizontal="left" vertical="center" textRotation="0" wrapText="true" indent="0" shrinkToFit="false"/>
      <protection locked="true" hidden="false"/>
    </xf>
    <xf numFmtId="165" fontId="27" fillId="13" borderId="2" xfId="0" applyFont="true" applyBorder="true" applyAlignment="true" applyProtection="false">
      <alignment horizontal="right" vertical="center" textRotation="0" wrapText="false" indent="0" shrinkToFit="false"/>
      <protection locked="true" hidden="false"/>
    </xf>
    <xf numFmtId="166" fontId="7" fillId="13" borderId="2" xfId="0" applyFont="true" applyBorder="true" applyAlignment="true" applyProtection="false">
      <alignment horizontal="center" vertical="center" textRotation="0" wrapText="true" indent="0" shrinkToFit="false"/>
      <protection locked="true" hidden="false"/>
    </xf>
    <xf numFmtId="164" fontId="8" fillId="14" borderId="2" xfId="0" applyFont="true" applyBorder="true" applyAlignment="true" applyProtection="false">
      <alignment horizontal="left" vertical="center" textRotation="0" wrapText="true" indent="2" shrinkToFit="false"/>
      <protection locked="true" hidden="false"/>
    </xf>
    <xf numFmtId="164" fontId="15" fillId="15" borderId="2" xfId="0" applyFont="true" applyBorder="true" applyAlignment="true" applyProtection="false">
      <alignment horizontal="center" vertical="center" textRotation="0" wrapText="true" indent="0" shrinkToFit="false"/>
      <protection locked="true" hidden="false"/>
    </xf>
    <xf numFmtId="164" fontId="28" fillId="15" borderId="2" xfId="0" applyFont="true" applyBorder="true" applyAlignment="true" applyProtection="false">
      <alignment horizontal="left" vertical="center" textRotation="0" wrapText="true" indent="0" shrinkToFit="false"/>
      <protection locked="true" hidden="false"/>
    </xf>
    <xf numFmtId="165" fontId="28" fillId="15" borderId="2" xfId="0" applyFont="true" applyBorder="true" applyAlignment="true" applyProtection="false">
      <alignment horizontal="right" vertical="center" textRotation="0" wrapText="false" indent="0" shrinkToFit="false"/>
      <protection locked="true" hidden="false"/>
    </xf>
    <xf numFmtId="166" fontId="7" fillId="15" borderId="2" xfId="0" applyFont="true" applyBorder="true" applyAlignment="true" applyProtection="false">
      <alignment horizontal="center" vertical="center" textRotation="0" wrapText="true" indent="0" shrinkToFit="false"/>
      <protection locked="true" hidden="false"/>
    </xf>
    <xf numFmtId="164" fontId="29" fillId="2" borderId="3" xfId="0" applyFont="true" applyBorder="true" applyAlignment="true" applyProtection="false">
      <alignment horizontal="center" vertical="center" textRotation="0" wrapText="true" indent="0" shrinkToFit="false"/>
      <protection locked="true" hidden="false"/>
    </xf>
    <xf numFmtId="164" fontId="29" fillId="2" borderId="3" xfId="0" applyFont="true" applyBorder="true" applyAlignment="true" applyProtection="false">
      <alignment horizontal="left" vertical="center" textRotation="0" wrapText="true" indent="2" shrinkToFit="false"/>
      <protection locked="true" hidden="false"/>
    </xf>
    <xf numFmtId="165" fontId="29" fillId="2" borderId="3" xfId="0" applyFont="true" applyBorder="true" applyAlignment="true" applyProtection="false">
      <alignment horizontal="right" vertical="center" textRotation="0" wrapText="false" indent="0" shrinkToFit="false"/>
      <protection locked="true" hidden="false"/>
    </xf>
    <xf numFmtId="166" fontId="30" fillId="2" borderId="3" xfId="0" applyFont="true" applyBorder="true" applyAlignment="true" applyProtection="false">
      <alignment horizontal="center" vertical="center" textRotation="0" wrapText="true" indent="0" shrinkToFit="false"/>
      <protection locked="true" hidden="false"/>
    </xf>
    <xf numFmtId="164" fontId="31" fillId="0" borderId="2" xfId="0" applyFont="true" applyBorder="true" applyAlignment="true" applyProtection="false">
      <alignment horizontal="left" vertical="center" textRotation="0" wrapText="true" indent="2" shrinkToFit="false"/>
      <protection locked="true" hidden="false"/>
    </xf>
    <xf numFmtId="166" fontId="31" fillId="0" borderId="2" xfId="0" applyFont="true" applyBorder="true" applyAlignment="true" applyProtection="false">
      <alignment horizontal="right" vertical="center" textRotation="0" wrapText="false" indent="0" shrinkToFit="false"/>
      <protection locked="true" hidden="false"/>
    </xf>
    <xf numFmtId="164" fontId="33" fillId="4" borderId="0" xfId="0" applyFont="true" applyBorder="true" applyAlignment="true" applyProtection="false">
      <alignment horizontal="center" vertical="center" textRotation="0" wrapText="true" indent="0" shrinkToFit="false"/>
      <protection locked="true" hidden="false"/>
    </xf>
    <xf numFmtId="165" fontId="34" fillId="0" borderId="2" xfId="0" applyFont="true" applyBorder="true" applyAlignment="true" applyProtection="false">
      <alignment horizontal="right" vertical="center" textRotation="0" wrapText="false" indent="0" shrinkToFit="false"/>
      <protection locked="true" hidden="false"/>
    </xf>
    <xf numFmtId="164" fontId="17" fillId="6" borderId="3" xfId="0" applyFont="true" applyBorder="true" applyAlignment="true" applyProtection="false">
      <alignment horizontal="left" vertical="center" textRotation="0" wrapText="true" indent="2" shrinkToFit="false"/>
      <protection locked="true" hidden="false"/>
    </xf>
    <xf numFmtId="165" fontId="17" fillId="6" borderId="3" xfId="0" applyFont="true" applyBorder="true" applyAlignment="true" applyProtection="false">
      <alignment horizontal="right" vertical="center" textRotation="0" wrapText="false" indent="0" shrinkToFit="false"/>
      <protection locked="true" hidden="false"/>
    </xf>
    <xf numFmtId="164" fontId="26" fillId="9" borderId="0" xfId="0" applyFont="true" applyBorder="true" applyAlignment="true" applyProtection="false">
      <alignment horizontal="left" vertical="center" textRotation="0" wrapText="true" indent="2" shrinkToFit="false"/>
      <protection locked="true" hidden="false"/>
    </xf>
    <xf numFmtId="165" fontId="26" fillId="0" borderId="2"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2" shrinkToFit="false"/>
      <protection locked="true" hidden="false"/>
    </xf>
    <xf numFmtId="164" fontId="33" fillId="10" borderId="0" xfId="0" applyFont="true" applyBorder="true" applyAlignment="true" applyProtection="false">
      <alignment horizontal="center" vertical="center" textRotation="0" wrapText="true" indent="0" shrinkToFit="false"/>
      <protection locked="true" hidden="false"/>
    </xf>
    <xf numFmtId="164" fontId="24" fillId="0" borderId="2" xfId="0" applyFont="true" applyBorder="true" applyAlignment="true" applyProtection="false">
      <alignment horizontal="left" vertical="center" textRotation="0" wrapText="true" indent="2" shrinkToFit="false"/>
      <protection locked="true" hidden="false"/>
    </xf>
    <xf numFmtId="164" fontId="23" fillId="0" borderId="2" xfId="0" applyFont="true" applyBorder="true" applyAlignment="true" applyProtection="false">
      <alignment horizontal="left" vertical="center" textRotation="0" wrapText="true" indent="2" shrinkToFit="false"/>
      <protection locked="true" hidden="false"/>
    </xf>
    <xf numFmtId="164" fontId="0" fillId="0" borderId="2" xfId="0" applyFont="false" applyBorder="true" applyAlignment="true" applyProtection="false">
      <alignment horizontal="left" vertical="center" textRotation="0" wrapText="true" indent="2" shrinkToFit="false"/>
      <protection locked="true" hidden="false"/>
    </xf>
    <xf numFmtId="164" fontId="27" fillId="0" borderId="2" xfId="0" applyFont="true" applyBorder="true" applyAlignment="true" applyProtection="false">
      <alignment horizontal="left" vertical="center" textRotation="0" wrapText="true" indent="2" shrinkToFit="false"/>
      <protection locked="true" hidden="false"/>
    </xf>
    <xf numFmtId="164" fontId="28" fillId="0" borderId="2" xfId="0" applyFont="true" applyBorder="true" applyAlignment="true" applyProtection="false">
      <alignment horizontal="left" vertical="center" textRotation="0" wrapText="true" indent="2" shrinkToFit="false"/>
      <protection locked="true" hidden="false"/>
    </xf>
    <xf numFmtId="164" fontId="26" fillId="9" borderId="2" xfId="0" applyFont="true" applyBorder="true" applyAlignment="true" applyProtection="false">
      <alignment horizontal="left" vertical="center" textRotation="0" wrapText="true" indent="2" shrinkToFit="false"/>
      <protection locked="true" hidden="false"/>
    </xf>
    <xf numFmtId="164" fontId="34" fillId="16" borderId="2" xfId="0" applyFont="true" applyBorder="true" applyAlignment="true" applyProtection="false">
      <alignment horizontal="left" vertical="center" textRotation="0" wrapText="true" indent="2" shrinkToFit="false"/>
      <protection locked="true" hidden="false"/>
    </xf>
    <xf numFmtId="165" fontId="26" fillId="16" borderId="2" xfId="0" applyFont="true" applyBorder="true" applyAlignment="true" applyProtection="false">
      <alignment horizontal="right" vertical="center" textRotation="0" wrapText="false" indent="0" shrinkToFit="false"/>
      <protection locked="true" hidden="false"/>
    </xf>
    <xf numFmtId="164" fontId="8" fillId="2" borderId="3" xfId="0" applyFont="true" applyBorder="true" applyAlignment="true" applyProtection="false">
      <alignment horizontal="left" vertical="center" textRotation="0" wrapText="true" indent="2" shrinkToFit="false"/>
      <protection locked="true" hidden="false"/>
    </xf>
    <xf numFmtId="165" fontId="8" fillId="2" borderId="3" xfId="0" applyFont="true" applyBorder="true" applyAlignment="true" applyProtection="false">
      <alignment horizontal="right" vertical="center" textRotation="0" wrapText="false" indent="0" shrinkToFit="false"/>
      <protection locked="true" hidden="false"/>
    </xf>
    <xf numFmtId="164" fontId="33" fillId="2" borderId="0" xfId="0" applyFont="true" applyBorder="true" applyAlignment="true" applyProtection="false">
      <alignment horizontal="center" vertical="center" textRotation="0" wrapText="true" indent="0" shrinkToFit="false"/>
      <protection locked="true" hidden="false"/>
    </xf>
    <xf numFmtId="164" fontId="35" fillId="0"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36" fillId="0" borderId="2" xfId="0" applyFont="true" applyBorder="true" applyAlignment="true" applyProtection="false">
      <alignment horizontal="left" vertical="center" textRotation="0" wrapText="true" indent="0" shrinkToFit="false"/>
      <protection locked="true" hidden="false"/>
    </xf>
    <xf numFmtId="164" fontId="35" fillId="16" borderId="2" xfId="0" applyFont="true" applyBorder="true" applyAlignment="true" applyProtection="false">
      <alignment horizontal="center" vertical="center" textRotation="0" wrapText="true" indent="0" shrinkToFit="false"/>
      <protection locked="true" hidden="false"/>
    </xf>
    <xf numFmtId="164" fontId="9" fillId="16" borderId="2" xfId="0" applyFont="true" applyBorder="true" applyAlignment="true" applyProtection="false">
      <alignment horizontal="left" vertical="center" textRotation="0" wrapText="true" indent="0" shrinkToFit="false"/>
      <protection locked="true" hidden="false"/>
    </xf>
    <xf numFmtId="164" fontId="36" fillId="16" borderId="2" xfId="0" applyFont="true" applyBorder="true" applyAlignment="true" applyProtection="false">
      <alignment horizontal="left" vertical="center" textRotation="0" wrapText="true" indent="0" shrinkToFit="false"/>
      <protection locked="true" hidden="false"/>
    </xf>
    <xf numFmtId="164" fontId="37" fillId="0" borderId="0" xfId="0" applyFont="true" applyBorder="false" applyAlignment="true" applyProtection="false">
      <alignment horizontal="left" vertical="center" textRotation="0" wrapText="true" indent="0" shrinkToFit="false"/>
      <protection locked="true" hidden="false"/>
    </xf>
    <xf numFmtId="164" fontId="8" fillId="3" borderId="0" xfId="0" applyFont="true" applyBorder="false" applyAlignment="true" applyProtection="false">
      <alignment horizontal="left" vertical="center" textRotation="0" wrapText="false" indent="1" shrinkToFit="false"/>
      <protection locked="true" hidden="false"/>
    </xf>
    <xf numFmtId="164" fontId="11" fillId="0" borderId="0" xfId="0" applyFont="true" applyBorder="fals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59669"/>
      <rgbColor rgb="FFF1F5F9"/>
      <rgbColor rgb="FF808080"/>
      <rgbColor rgb="FF9999FF"/>
      <rgbColor rgb="FF993366"/>
      <rgbColor rgb="FFFFF9C4"/>
      <rgbColor rgb="FFDCFCE7"/>
      <rgbColor rgb="FF660066"/>
      <rgbColor rgb="FFFF8080"/>
      <rgbColor rgb="FF0066CC"/>
      <rgbColor rgb="FFEDE9FE"/>
      <rgbColor rgb="FF000080"/>
      <rgbColor rgb="FFFF00FF"/>
      <rgbColor rgb="FFFFFF00"/>
      <rgbColor rgb="FF00FFFF"/>
      <rgbColor rgb="FF800080"/>
      <rgbColor rgb="FF800000"/>
      <rgbColor rgb="FF008080"/>
      <rgbColor rgb="FF0000FF"/>
      <rgbColor rgb="FF00CCFF"/>
      <rgbColor rgb="FFDBEAFE"/>
      <rgbColor rgb="FFE2E8F0"/>
      <rgbColor rgb="FFFFEDD5"/>
      <rgbColor rgb="FFF8FAFC"/>
      <rgbColor rgb="FFFF99CC"/>
      <rgbColor rgb="FFCC99FF"/>
      <rgbColor rgb="FFFEE2E2"/>
      <rgbColor rgb="FF2563EB"/>
      <rgbColor rgb="FF33CCCC"/>
      <rgbColor rgb="FF99CC00"/>
      <rgbColor rgb="FFFFCC00"/>
      <rgbColor rgb="FFD97706"/>
      <rgbColor rgb="FFEA580C"/>
      <rgbColor rgb="FF7C3AED"/>
      <rgbColor rgb="FF94A3B8"/>
      <rgbColor rgb="FF003366"/>
      <rgbColor rgb="FF339966"/>
      <rgbColor rgb="FF111827"/>
      <rgbColor rgb="FF333300"/>
      <rgbColor rgb="FF993300"/>
      <rgbColor rgb="FF993366"/>
      <rgbColor rgb="FF33415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7" min="3" style="0" width="22"/>
    <col collapsed="false" customWidth="true" hidden="false" outlineLevel="0" max="8" min="8" style="0" width="3"/>
  </cols>
  <sheetData>
    <row r="2" customFormat="false" ht="7.5" hidden="false" customHeight="true" outlineLevel="0" collapsed="false"/>
    <row r="3" customFormat="false" ht="27.75" hidden="false" customHeight="true" outlineLevel="0" collapsed="false">
      <c r="B3" s="1" t="s">
        <v>0</v>
      </c>
      <c r="C3" s="1"/>
      <c r="D3" s="1"/>
      <c r="E3" s="1"/>
      <c r="F3" s="1"/>
      <c r="G3" s="1"/>
    </row>
    <row r="4" customFormat="false" ht="27.75" hidden="false" customHeight="true" outlineLevel="0" collapsed="false">
      <c r="B4" s="2" t="s">
        <v>1</v>
      </c>
      <c r="C4" s="2"/>
      <c r="D4" s="2"/>
      <c r="E4" s="2"/>
      <c r="F4" s="2"/>
      <c r="G4" s="2"/>
    </row>
    <row r="5" customFormat="false" ht="27.75" hidden="false" customHeight="true" outlineLevel="0" collapsed="false">
      <c r="B5" s="2"/>
      <c r="C5" s="2"/>
      <c r="D5" s="2"/>
      <c r="E5" s="2"/>
      <c r="F5" s="2"/>
      <c r="G5" s="2"/>
    </row>
    <row r="6" customFormat="false" ht="27.75" hidden="false" customHeight="true" outlineLevel="0" collapsed="false">
      <c r="B6" s="2"/>
      <c r="C6" s="2"/>
      <c r="D6" s="2"/>
      <c r="E6" s="2"/>
      <c r="F6" s="2"/>
      <c r="G6" s="2"/>
    </row>
    <row r="7" customFormat="false" ht="27.75" hidden="false" customHeight="true" outlineLevel="0" collapsed="false">
      <c r="B7" s="3" t="s">
        <v>2</v>
      </c>
      <c r="C7" s="3"/>
      <c r="D7" s="3"/>
      <c r="E7" s="3"/>
      <c r="F7" s="3"/>
      <c r="G7" s="3"/>
    </row>
    <row r="8" customFormat="false" ht="27.75" hidden="false" customHeight="true" outlineLevel="0" collapsed="false">
      <c r="B8" s="4" t="s">
        <v>3</v>
      </c>
      <c r="C8" s="4"/>
      <c r="D8" s="4"/>
      <c r="E8" s="4"/>
      <c r="F8" s="4"/>
      <c r="G8" s="4"/>
    </row>
    <row r="10" customFormat="false" ht="7.5" hidden="false" customHeight="true" outlineLevel="0" collapsed="false"/>
    <row r="11" customFormat="false" ht="27.75" hidden="false" customHeight="true" outlineLevel="0" collapsed="false">
      <c r="B11" s="5" t="s">
        <v>4</v>
      </c>
      <c r="C11" s="5"/>
      <c r="D11" s="5"/>
      <c r="E11" s="5"/>
      <c r="F11" s="5"/>
      <c r="G11" s="5"/>
    </row>
    <row r="12" customFormat="false" ht="21.75" hidden="false" customHeight="true" outlineLevel="0" collapsed="false">
      <c r="B12" s="6" t="s">
        <v>5</v>
      </c>
      <c r="C12" s="6"/>
      <c r="D12" s="7" t="s">
        <v>6</v>
      </c>
      <c r="E12" s="7"/>
      <c r="F12" s="7"/>
      <c r="G12" s="7"/>
    </row>
    <row r="13" customFormat="false" ht="21.75" hidden="false" customHeight="true" outlineLevel="0" collapsed="false">
      <c r="B13" s="6" t="s">
        <v>7</v>
      </c>
      <c r="C13" s="6"/>
      <c r="D13" s="7" t="s">
        <v>8</v>
      </c>
      <c r="E13" s="7"/>
      <c r="F13" s="7"/>
      <c r="G13" s="7"/>
    </row>
    <row r="14" customFormat="false" ht="21.75" hidden="false" customHeight="true" outlineLevel="0" collapsed="false">
      <c r="B14" s="6" t="s">
        <v>9</v>
      </c>
      <c r="C14" s="6"/>
      <c r="D14" s="7" t="s">
        <v>10</v>
      </c>
      <c r="E14" s="7"/>
      <c r="F14" s="7"/>
      <c r="G14" s="7"/>
    </row>
    <row r="15" customFormat="false" ht="21.75" hidden="false" customHeight="true" outlineLevel="0" collapsed="false">
      <c r="B15" s="6" t="s">
        <v>11</v>
      </c>
      <c r="C15" s="6"/>
      <c r="D15" s="7" t="s">
        <v>12</v>
      </c>
      <c r="E15" s="7"/>
      <c r="F15" s="7"/>
      <c r="G15" s="7"/>
    </row>
    <row r="16" customFormat="false" ht="21.75" hidden="false" customHeight="true" outlineLevel="0" collapsed="false">
      <c r="B16" s="6" t="s">
        <v>13</v>
      </c>
      <c r="C16" s="6"/>
      <c r="D16" s="7" t="s">
        <v>14</v>
      </c>
      <c r="E16" s="7"/>
      <c r="F16" s="7"/>
      <c r="G16" s="7"/>
    </row>
    <row r="17" customFormat="false" ht="21.75" hidden="false" customHeight="true" outlineLevel="0" collapsed="false">
      <c r="B17" s="6" t="s">
        <v>15</v>
      </c>
      <c r="C17" s="6"/>
      <c r="D17" s="7" t="s">
        <v>16</v>
      </c>
      <c r="E17" s="7"/>
      <c r="F17" s="7"/>
      <c r="G17" s="7"/>
    </row>
    <row r="18" customFormat="false" ht="21.75" hidden="false" customHeight="true" outlineLevel="0" collapsed="false">
      <c r="B18" s="6" t="s">
        <v>17</v>
      </c>
      <c r="C18" s="6"/>
      <c r="D18" s="7" t="s">
        <v>18</v>
      </c>
      <c r="E18" s="7"/>
      <c r="F18" s="7"/>
      <c r="G18" s="7"/>
    </row>
    <row r="19" customFormat="false" ht="21.75" hidden="false" customHeight="true" outlineLevel="0" collapsed="false">
      <c r="B19" s="6" t="s">
        <v>19</v>
      </c>
      <c r="C19" s="6"/>
      <c r="D19" s="7" t="s">
        <v>20</v>
      </c>
      <c r="E19" s="7"/>
      <c r="F19" s="7"/>
      <c r="G19" s="7"/>
    </row>
    <row r="21" customFormat="false" ht="25.5" hidden="false" customHeight="true" outlineLevel="0" collapsed="false">
      <c r="B21" s="8" t="s">
        <v>21</v>
      </c>
      <c r="C21" s="8"/>
      <c r="D21" s="8"/>
      <c r="E21" s="8"/>
      <c r="F21" s="8"/>
      <c r="G21" s="8"/>
    </row>
    <row r="22" customFormat="false" ht="18" hidden="false" customHeight="true" outlineLevel="0" collapsed="false">
      <c r="B22" s="9" t="s">
        <v>22</v>
      </c>
      <c r="C22" s="9"/>
      <c r="D22" s="9"/>
      <c r="E22" s="9"/>
      <c r="F22" s="9"/>
      <c r="G22" s="9"/>
    </row>
    <row r="23" customFormat="false" ht="18" hidden="false" customHeight="true" outlineLevel="0" collapsed="false">
      <c r="B23" s="9" t="s">
        <v>23</v>
      </c>
      <c r="C23" s="9"/>
      <c r="D23" s="9"/>
      <c r="E23" s="9"/>
      <c r="F23" s="9"/>
      <c r="G23" s="9"/>
    </row>
    <row r="24" customFormat="false" ht="18" hidden="false" customHeight="true" outlineLevel="0" collapsed="false">
      <c r="B24" s="9" t="s">
        <v>24</v>
      </c>
      <c r="C24" s="9"/>
      <c r="D24" s="9"/>
      <c r="E24" s="9"/>
      <c r="F24" s="9"/>
      <c r="G24" s="9"/>
    </row>
    <row r="25" customFormat="false" ht="18" hidden="false" customHeight="true" outlineLevel="0" collapsed="false">
      <c r="B25" s="9" t="s">
        <v>25</v>
      </c>
      <c r="C25" s="9"/>
      <c r="D25" s="9"/>
      <c r="E25" s="9"/>
      <c r="F25" s="9"/>
      <c r="G25" s="9"/>
    </row>
    <row r="26" customFormat="false" ht="18" hidden="false" customHeight="true" outlineLevel="0" collapsed="false">
      <c r="B26" s="9" t="s">
        <v>26</v>
      </c>
      <c r="C26" s="9"/>
      <c r="D26" s="9"/>
      <c r="E26" s="9"/>
      <c r="F26" s="9"/>
      <c r="G26" s="9"/>
    </row>
    <row r="27" customFormat="false" ht="18" hidden="false" customHeight="true" outlineLevel="0" collapsed="false">
      <c r="B27" s="9" t="s">
        <v>27</v>
      </c>
      <c r="C27" s="9"/>
      <c r="D27" s="9"/>
      <c r="E27" s="9"/>
      <c r="F27" s="9"/>
      <c r="G27" s="9"/>
    </row>
    <row r="29" customFormat="false" ht="15" hidden="false" customHeight="true" outlineLevel="0" collapsed="false">
      <c r="B29" s="10" t="s">
        <v>28</v>
      </c>
      <c r="C29" s="10"/>
      <c r="D29" s="10"/>
      <c r="E29" s="10"/>
      <c r="F29" s="10"/>
      <c r="G29" s="10"/>
    </row>
  </sheetData>
  <mergeCells count="29">
    <mergeCell ref="B3:G3"/>
    <mergeCell ref="B4:G6"/>
    <mergeCell ref="B7:G7"/>
    <mergeCell ref="B8:G8"/>
    <mergeCell ref="B11:G11"/>
    <mergeCell ref="B12:C12"/>
    <mergeCell ref="D12:G12"/>
    <mergeCell ref="B13:C13"/>
    <mergeCell ref="D13:G13"/>
    <mergeCell ref="B14:C14"/>
    <mergeCell ref="D14:G14"/>
    <mergeCell ref="B15:C15"/>
    <mergeCell ref="D15:G15"/>
    <mergeCell ref="B16:C16"/>
    <mergeCell ref="D16:G16"/>
    <mergeCell ref="B17:C17"/>
    <mergeCell ref="D17:G17"/>
    <mergeCell ref="B18:C18"/>
    <mergeCell ref="D18:G18"/>
    <mergeCell ref="B19:C19"/>
    <mergeCell ref="D19:G19"/>
    <mergeCell ref="B21:G21"/>
    <mergeCell ref="B22:G22"/>
    <mergeCell ref="B23:G23"/>
    <mergeCell ref="B24:G24"/>
    <mergeCell ref="B25:G25"/>
    <mergeCell ref="B26:G26"/>
    <mergeCell ref="B27:G27"/>
    <mergeCell ref="B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42"/>
    <col collapsed="false" customWidth="true" hidden="false" outlineLevel="0" max="7" min="4" style="0" width="18"/>
    <col collapsed="false" customWidth="true" hidden="false" outlineLevel="0" max="8" min="8" style="0" width="14"/>
  </cols>
  <sheetData>
    <row r="2" customFormat="false" ht="30" hidden="false" customHeight="true" outlineLevel="0" collapsed="false">
      <c r="B2" s="11" t="s">
        <v>29</v>
      </c>
      <c r="C2" s="11"/>
      <c r="D2" s="11"/>
      <c r="E2" s="11"/>
      <c r="F2" s="11"/>
      <c r="G2" s="11"/>
      <c r="H2" s="11"/>
    </row>
    <row r="3" customFormat="false" ht="7.5" hidden="false" customHeight="true" outlineLevel="0" collapsed="false"/>
    <row r="4" customFormat="false" ht="31.5" hidden="false" customHeight="true" outlineLevel="0" collapsed="false">
      <c r="B4" s="12" t="s">
        <v>30</v>
      </c>
      <c r="C4" s="12" t="s">
        <v>31</v>
      </c>
      <c r="D4" s="12" t="s">
        <v>32</v>
      </c>
      <c r="E4" s="12" t="s">
        <v>33</v>
      </c>
      <c r="F4" s="12" t="s">
        <v>34</v>
      </c>
      <c r="G4" s="12" t="s">
        <v>35</v>
      </c>
      <c r="H4" s="12" t="s">
        <v>36</v>
      </c>
    </row>
    <row r="5" customFormat="false" ht="24" hidden="false" customHeight="true" outlineLevel="0" collapsed="false">
      <c r="B5" s="13" t="s">
        <v>37</v>
      </c>
      <c r="C5" s="13"/>
      <c r="D5" s="13"/>
      <c r="E5" s="13"/>
      <c r="F5" s="13"/>
      <c r="G5" s="13"/>
      <c r="H5" s="13"/>
    </row>
    <row r="6" customFormat="false" ht="18" hidden="false" customHeight="true" outlineLevel="0" collapsed="false">
      <c r="B6" s="14" t="s">
        <v>38</v>
      </c>
      <c r="C6" s="15" t="s">
        <v>39</v>
      </c>
      <c r="D6" s="16"/>
      <c r="E6" s="16"/>
      <c r="F6" s="16"/>
      <c r="G6" s="17" t="n">
        <f aca="false">D6+E6+F6</f>
        <v>0</v>
      </c>
      <c r="H6" s="18" t="n">
        <f aca="false">IFERROR(G6/$G$8,0)</f>
        <v>0</v>
      </c>
    </row>
    <row r="7" customFormat="false" ht="18" hidden="false" customHeight="true" outlineLevel="0" collapsed="false">
      <c r="B7" s="14" t="s">
        <v>40</v>
      </c>
      <c r="C7" s="15" t="s">
        <v>41</v>
      </c>
      <c r="D7" s="16"/>
      <c r="E7" s="16"/>
      <c r="F7" s="16"/>
      <c r="G7" s="17" t="n">
        <f aca="false">D7+E7+F7</f>
        <v>0</v>
      </c>
      <c r="H7" s="18" t="n">
        <f aca="false">IFERROR(G7/$G$8,0)</f>
        <v>0</v>
      </c>
    </row>
    <row r="8" customFormat="false" ht="21.75" hidden="false" customHeight="true" outlineLevel="0" collapsed="false">
      <c r="B8" s="19"/>
      <c r="C8" s="20" t="s">
        <v>42</v>
      </c>
      <c r="D8" s="21" t="n">
        <f aca="false">SUM(D6:D7)</f>
        <v>0</v>
      </c>
      <c r="E8" s="21" t="n">
        <f aca="false">SUM(E6:E7)</f>
        <v>0</v>
      </c>
      <c r="F8" s="21" t="n">
        <f aca="false">SUM(F6:F7)</f>
        <v>0</v>
      </c>
      <c r="G8" s="21" t="n">
        <f aca="false">D8+E8+F8</f>
        <v>0</v>
      </c>
      <c r="H8" s="22" t="n">
        <f aca="false">IFERROR(G8/$G$8,0)</f>
        <v>0</v>
      </c>
    </row>
    <row r="9" customFormat="false" ht="15.75" hidden="false" customHeight="true" outlineLevel="0" collapsed="false">
      <c r="B9" s="14"/>
      <c r="C9" s="23" t="s">
        <v>43</v>
      </c>
      <c r="D9" s="16"/>
      <c r="E9" s="16"/>
      <c r="F9" s="16"/>
      <c r="G9" s="24" t="n">
        <f aca="false">D9+E9+F9</f>
        <v>0</v>
      </c>
      <c r="H9" s="25"/>
    </row>
    <row r="10" customFormat="false" ht="15.75" hidden="false" customHeight="true" outlineLevel="0" collapsed="false">
      <c r="B10" s="14"/>
      <c r="C10" s="26" t="s">
        <v>44</v>
      </c>
      <c r="D10" s="16"/>
      <c r="E10" s="16"/>
      <c r="F10" s="16"/>
      <c r="G10" s="27" t="n">
        <f aca="false">D10+E10+F10</f>
        <v>0</v>
      </c>
      <c r="H10" s="25"/>
    </row>
    <row r="11" customFormat="false" ht="24" hidden="false" customHeight="true" outlineLevel="0" collapsed="false">
      <c r="B11" s="28" t="s">
        <v>45</v>
      </c>
      <c r="C11" s="28"/>
      <c r="D11" s="28"/>
      <c r="E11" s="28"/>
      <c r="F11" s="28"/>
      <c r="G11" s="28"/>
      <c r="H11" s="28"/>
    </row>
    <row r="12" customFormat="false" ht="18" hidden="false" customHeight="true" outlineLevel="0" collapsed="false">
      <c r="B12" s="14" t="s">
        <v>46</v>
      </c>
      <c r="C12" s="15" t="s">
        <v>47</v>
      </c>
      <c r="D12" s="16"/>
      <c r="E12" s="16"/>
      <c r="F12" s="16"/>
      <c r="G12" s="17" t="n">
        <f aca="false">D12+E12+F12</f>
        <v>0</v>
      </c>
      <c r="H12" s="25"/>
    </row>
    <row r="13" customFormat="false" ht="18" hidden="false" customHeight="true" outlineLevel="0" collapsed="false">
      <c r="B13" s="14" t="s">
        <v>48</v>
      </c>
      <c r="C13" s="15" t="s">
        <v>49</v>
      </c>
      <c r="D13" s="16"/>
      <c r="E13" s="16"/>
      <c r="F13" s="16"/>
      <c r="G13" s="17" t="n">
        <f aca="false">D13+E13+F13</f>
        <v>0</v>
      </c>
      <c r="H13" s="25"/>
    </row>
    <row r="14" customFormat="false" ht="18" hidden="false" customHeight="true" outlineLevel="0" collapsed="false">
      <c r="B14" s="14" t="s">
        <v>50</v>
      </c>
      <c r="C14" s="29" t="s">
        <v>51</v>
      </c>
      <c r="D14" s="16"/>
      <c r="E14" s="16"/>
      <c r="F14" s="16"/>
      <c r="G14" s="30" t="n">
        <f aca="false">D14+E14+F14</f>
        <v>0</v>
      </c>
      <c r="H14" s="25"/>
    </row>
    <row r="15" customFormat="false" ht="21.75" hidden="false" customHeight="true" outlineLevel="0" collapsed="false">
      <c r="B15" s="31"/>
      <c r="C15" s="32" t="s">
        <v>52</v>
      </c>
      <c r="D15" s="33" t="n">
        <f aca="false">D12+D13-D14</f>
        <v>0</v>
      </c>
      <c r="E15" s="33" t="n">
        <f aca="false">E12+E13-E14</f>
        <v>0</v>
      </c>
      <c r="F15" s="33" t="n">
        <f aca="false">F12+F13-F14</f>
        <v>0</v>
      </c>
      <c r="G15" s="33" t="n">
        <f aca="false">D15+E15+F15</f>
        <v>0</v>
      </c>
      <c r="H15" s="34" t="n">
        <f aca="false">IFERROR(G15/$G$8,0)</f>
        <v>0</v>
      </c>
    </row>
    <row r="16" customFormat="false" ht="24" hidden="false" customHeight="true" outlineLevel="0" collapsed="false">
      <c r="B16" s="35"/>
      <c r="C16" s="36" t="s">
        <v>53</v>
      </c>
      <c r="D16" s="37" t="n">
        <f aca="false">D8-D15</f>
        <v>0</v>
      </c>
      <c r="E16" s="37" t="n">
        <f aca="false">E8-E15</f>
        <v>0</v>
      </c>
      <c r="F16" s="37" t="n">
        <f aca="false">F8-F15</f>
        <v>0</v>
      </c>
      <c r="G16" s="37" t="n">
        <f aca="false">D16+E16+F16</f>
        <v>0</v>
      </c>
      <c r="H16" s="38" t="n">
        <f aca="false">IFERROR(G16/$G$8,0)</f>
        <v>0</v>
      </c>
    </row>
    <row r="17" customFormat="false" ht="18" hidden="false" customHeight="true" outlineLevel="0" collapsed="false">
      <c r="B17" s="25"/>
      <c r="C17" s="39" t="s">
        <v>54</v>
      </c>
      <c r="D17" s="40" t="n">
        <f aca="false">IFERROR(D16/D8,0)</f>
        <v>0</v>
      </c>
      <c r="E17" s="40" t="n">
        <f aca="false">IFERROR(E16/E8,0)</f>
        <v>0</v>
      </c>
      <c r="F17" s="40" t="n">
        <f aca="false">IFERROR(F16/F8,0)</f>
        <v>0</v>
      </c>
      <c r="G17" s="40" t="n">
        <f aca="false">IFERROR(G16/G8,0)</f>
        <v>0</v>
      </c>
      <c r="H17" s="25"/>
    </row>
    <row r="19" customFormat="false" ht="24" hidden="false" customHeight="true" outlineLevel="0" collapsed="false">
      <c r="B19" s="41" t="s">
        <v>55</v>
      </c>
      <c r="C19" s="41"/>
      <c r="D19" s="41"/>
      <c r="E19" s="41"/>
      <c r="F19" s="41"/>
      <c r="G19" s="41"/>
      <c r="H19" s="41"/>
    </row>
    <row r="20" customFormat="false" ht="18" hidden="false" customHeight="true" outlineLevel="0" collapsed="false">
      <c r="B20" s="14" t="s">
        <v>56</v>
      </c>
      <c r="C20" s="15" t="s">
        <v>57</v>
      </c>
      <c r="D20" s="16"/>
      <c r="E20" s="16"/>
      <c r="F20" s="16"/>
      <c r="G20" s="17" t="n">
        <f aca="false">D20+E20+F20</f>
        <v>0</v>
      </c>
      <c r="H20" s="25"/>
    </row>
    <row r="21" customFormat="false" ht="18" hidden="false" customHeight="true" outlineLevel="0" collapsed="false">
      <c r="B21" s="14" t="s">
        <v>58</v>
      </c>
      <c r="C21" s="15" t="s">
        <v>59</v>
      </c>
      <c r="D21" s="16"/>
      <c r="E21" s="16"/>
      <c r="F21" s="16"/>
      <c r="G21" s="17" t="n">
        <f aca="false">D21+E21+F21</f>
        <v>0</v>
      </c>
      <c r="H21" s="25"/>
    </row>
    <row r="22" customFormat="false" ht="18" hidden="false" customHeight="true" outlineLevel="0" collapsed="false">
      <c r="B22" s="14" t="s">
        <v>60</v>
      </c>
      <c r="C22" s="15" t="s">
        <v>61</v>
      </c>
      <c r="D22" s="16"/>
      <c r="E22" s="16"/>
      <c r="F22" s="16"/>
      <c r="G22" s="17" t="n">
        <f aca="false">D22+E22+F22</f>
        <v>0</v>
      </c>
      <c r="H22" s="25"/>
    </row>
    <row r="23" customFormat="false" ht="18" hidden="false" customHeight="true" outlineLevel="0" collapsed="false">
      <c r="B23" s="14" t="s">
        <v>62</v>
      </c>
      <c r="C23" s="15" t="s">
        <v>63</v>
      </c>
      <c r="D23" s="16"/>
      <c r="E23" s="16"/>
      <c r="F23" s="16"/>
      <c r="G23" s="17" t="n">
        <f aca="false">D23+E23+F23</f>
        <v>0</v>
      </c>
      <c r="H23" s="25"/>
    </row>
    <row r="24" customFormat="false" ht="18" hidden="false" customHeight="true" outlineLevel="0" collapsed="false">
      <c r="B24" s="14" t="s">
        <v>64</v>
      </c>
      <c r="C24" s="15" t="s">
        <v>65</v>
      </c>
      <c r="D24" s="16"/>
      <c r="E24" s="16"/>
      <c r="F24" s="16"/>
      <c r="G24" s="17" t="n">
        <f aca="false">D24+E24+F24</f>
        <v>0</v>
      </c>
      <c r="H24" s="25"/>
    </row>
    <row r="25" customFormat="false" ht="18" hidden="false" customHeight="true" outlineLevel="0" collapsed="false">
      <c r="B25" s="14" t="s">
        <v>66</v>
      </c>
      <c r="C25" s="15" t="s">
        <v>67</v>
      </c>
      <c r="D25" s="16"/>
      <c r="E25" s="16"/>
      <c r="F25" s="16"/>
      <c r="G25" s="17" t="n">
        <f aca="false">D25+E25+F25</f>
        <v>0</v>
      </c>
      <c r="H25" s="25"/>
    </row>
    <row r="26" customFormat="false" ht="18" hidden="false" customHeight="true" outlineLevel="0" collapsed="false">
      <c r="B26" s="14" t="s">
        <v>68</v>
      </c>
      <c r="C26" s="15" t="s">
        <v>69</v>
      </c>
      <c r="D26" s="16"/>
      <c r="E26" s="16"/>
      <c r="F26" s="16"/>
      <c r="G26" s="17" t="n">
        <f aca="false">D26+E26+F26</f>
        <v>0</v>
      </c>
      <c r="H26" s="25"/>
    </row>
    <row r="27" customFormat="false" ht="18" hidden="false" customHeight="true" outlineLevel="0" collapsed="false">
      <c r="B27" s="14" t="s">
        <v>70</v>
      </c>
      <c r="C27" s="15" t="s">
        <v>71</v>
      </c>
      <c r="D27" s="16"/>
      <c r="E27" s="16"/>
      <c r="F27" s="16"/>
      <c r="G27" s="17" t="n">
        <f aca="false">D27+E27+F27</f>
        <v>0</v>
      </c>
      <c r="H27" s="25"/>
    </row>
    <row r="28" customFormat="false" ht="18" hidden="false" customHeight="true" outlineLevel="0" collapsed="false">
      <c r="B28" s="14" t="s">
        <v>72</v>
      </c>
      <c r="C28" s="15" t="s">
        <v>73</v>
      </c>
      <c r="D28" s="16"/>
      <c r="E28" s="16"/>
      <c r="F28" s="16"/>
      <c r="G28" s="17" t="n">
        <f aca="false">D28+E28+F28</f>
        <v>0</v>
      </c>
      <c r="H28" s="25"/>
    </row>
    <row r="29" customFormat="false" ht="18" hidden="false" customHeight="true" outlineLevel="0" collapsed="false">
      <c r="B29" s="14" t="s">
        <v>74</v>
      </c>
      <c r="C29" s="15" t="s">
        <v>75</v>
      </c>
      <c r="D29" s="16"/>
      <c r="E29" s="16"/>
      <c r="F29" s="16"/>
      <c r="G29" s="17" t="n">
        <f aca="false">D29+E29+F29</f>
        <v>0</v>
      </c>
      <c r="H29" s="25"/>
    </row>
    <row r="30" customFormat="false" ht="18" hidden="false" customHeight="true" outlineLevel="0" collapsed="false">
      <c r="B30" s="14" t="s">
        <v>76</v>
      </c>
      <c r="C30" s="15" t="s">
        <v>77</v>
      </c>
      <c r="D30" s="16"/>
      <c r="E30" s="16"/>
      <c r="F30" s="16"/>
      <c r="G30" s="17" t="n">
        <f aca="false">D30+E30+F30</f>
        <v>0</v>
      </c>
      <c r="H30" s="25"/>
    </row>
    <row r="31" customFormat="false" ht="18" hidden="false" customHeight="true" outlineLevel="0" collapsed="false">
      <c r="B31" s="14" t="s">
        <v>78</v>
      </c>
      <c r="C31" s="15" t="s">
        <v>79</v>
      </c>
      <c r="D31" s="16"/>
      <c r="E31" s="16"/>
      <c r="F31" s="16"/>
      <c r="G31" s="17" t="n">
        <f aca="false">D31+E31+F31</f>
        <v>0</v>
      </c>
      <c r="H31" s="25"/>
    </row>
    <row r="32" customFormat="false" ht="21.75" hidden="false" customHeight="true" outlineLevel="0" collapsed="false">
      <c r="B32" s="42"/>
      <c r="C32" s="43" t="s">
        <v>80</v>
      </c>
      <c r="D32" s="44" t="n">
        <f aca="false">SUM(D20:D31)</f>
        <v>0</v>
      </c>
      <c r="E32" s="44" t="n">
        <f aca="false">SUM(E20:E31)</f>
        <v>0</v>
      </c>
      <c r="F32" s="44" t="n">
        <f aca="false">SUM(F20:F31)</f>
        <v>0</v>
      </c>
      <c r="G32" s="44" t="n">
        <f aca="false">D32+E32+F32</f>
        <v>0</v>
      </c>
      <c r="H32" s="45" t="n">
        <f aca="false">IFERROR(G32/$G$8,0)</f>
        <v>0</v>
      </c>
    </row>
    <row r="33" customFormat="false" ht="24" hidden="false" customHeight="true" outlineLevel="0" collapsed="false">
      <c r="B33" s="35"/>
      <c r="C33" s="36" t="s">
        <v>81</v>
      </c>
      <c r="D33" s="37" t="n">
        <f aca="false">D16-D32</f>
        <v>0</v>
      </c>
      <c r="E33" s="37" t="n">
        <f aca="false">E16-E32</f>
        <v>0</v>
      </c>
      <c r="F33" s="37" t="n">
        <f aca="false">F16-F32</f>
        <v>0</v>
      </c>
      <c r="G33" s="37" t="n">
        <f aca="false">D33+E33+F33</f>
        <v>0</v>
      </c>
      <c r="H33" s="38" t="n">
        <f aca="false">IFERROR(G33/$G$8,0)</f>
        <v>0</v>
      </c>
    </row>
    <row r="34" customFormat="false" ht="18" hidden="false" customHeight="true" outlineLevel="0" collapsed="false">
      <c r="B34" s="25"/>
      <c r="C34" s="39" t="s">
        <v>82</v>
      </c>
      <c r="D34" s="40" t="n">
        <f aca="false">IFERROR(D33/D8,0)</f>
        <v>0</v>
      </c>
      <c r="E34" s="40" t="n">
        <f aca="false">IFERROR(E33/E8,0)</f>
        <v>0</v>
      </c>
      <c r="F34" s="40" t="n">
        <f aca="false">IFERROR(F33/F8,0)</f>
        <v>0</v>
      </c>
      <c r="G34" s="40" t="n">
        <f aca="false">IFERROR(G33/G8,0)</f>
        <v>0</v>
      </c>
      <c r="H34" s="25"/>
    </row>
    <row r="36" customFormat="false" ht="24" hidden="false" customHeight="true" outlineLevel="0" collapsed="false">
      <c r="B36" s="46" t="s">
        <v>83</v>
      </c>
      <c r="C36" s="46"/>
      <c r="D36" s="46"/>
      <c r="E36" s="46"/>
      <c r="F36" s="46"/>
      <c r="G36" s="46"/>
      <c r="H36" s="46"/>
    </row>
    <row r="37" customFormat="false" ht="18" hidden="false" customHeight="true" outlineLevel="0" collapsed="false">
      <c r="B37" s="14" t="s">
        <v>84</v>
      </c>
      <c r="C37" s="15" t="s">
        <v>85</v>
      </c>
      <c r="D37" s="16"/>
      <c r="E37" s="16"/>
      <c r="F37" s="16"/>
      <c r="G37" s="17" t="n">
        <f aca="false">D37+E37+F37</f>
        <v>0</v>
      </c>
      <c r="H37" s="25"/>
    </row>
    <row r="38" customFormat="false" ht="18" hidden="false" customHeight="true" outlineLevel="0" collapsed="false">
      <c r="B38" s="14" t="s">
        <v>86</v>
      </c>
      <c r="C38" s="15" t="s">
        <v>87</v>
      </c>
      <c r="D38" s="16"/>
      <c r="E38" s="16"/>
      <c r="F38" s="16"/>
      <c r="G38" s="17" t="n">
        <f aca="false">D38+E38+F38</f>
        <v>0</v>
      </c>
      <c r="H38" s="25"/>
    </row>
    <row r="39" customFormat="false" ht="18" hidden="false" customHeight="true" outlineLevel="0" collapsed="false">
      <c r="B39" s="14" t="s">
        <v>88</v>
      </c>
      <c r="C39" s="15" t="s">
        <v>89</v>
      </c>
      <c r="D39" s="16"/>
      <c r="E39" s="16"/>
      <c r="F39" s="16"/>
      <c r="G39" s="17" t="n">
        <f aca="false">D39+E39+F39</f>
        <v>0</v>
      </c>
      <c r="H39" s="25"/>
    </row>
    <row r="40" customFormat="false" ht="19.5" hidden="false" customHeight="true" outlineLevel="0" collapsed="false">
      <c r="B40" s="47"/>
      <c r="C40" s="48" t="s">
        <v>90</v>
      </c>
      <c r="D40" s="49" t="n">
        <f aca="false">SUM(D37:D39)</f>
        <v>0</v>
      </c>
      <c r="E40" s="49" t="n">
        <f aca="false">SUM(E37:E39)</f>
        <v>0</v>
      </c>
      <c r="F40" s="49" t="n">
        <f aca="false">SUM(F37:F39)</f>
        <v>0</v>
      </c>
      <c r="G40" s="49" t="n">
        <f aca="false">D40+E40+F40</f>
        <v>0</v>
      </c>
      <c r="H40" s="50" t="n">
        <f aca="false">IFERROR(G40/$G$8,0)</f>
        <v>0</v>
      </c>
    </row>
    <row r="42" customFormat="false" ht="24" hidden="false" customHeight="true" outlineLevel="0" collapsed="false">
      <c r="B42" s="51" t="s">
        <v>91</v>
      </c>
      <c r="C42" s="51"/>
      <c r="D42" s="51"/>
      <c r="E42" s="51"/>
      <c r="F42" s="51"/>
      <c r="G42" s="51"/>
      <c r="H42" s="51"/>
    </row>
    <row r="43" customFormat="false" ht="18" hidden="false" customHeight="true" outlineLevel="0" collapsed="false">
      <c r="B43" s="14" t="s">
        <v>92</v>
      </c>
      <c r="C43" s="15" t="s">
        <v>93</v>
      </c>
      <c r="D43" s="16"/>
      <c r="E43" s="16"/>
      <c r="F43" s="16"/>
      <c r="G43" s="17" t="n">
        <f aca="false">D43+E43+F43</f>
        <v>0</v>
      </c>
      <c r="H43" s="25"/>
    </row>
    <row r="44" customFormat="false" ht="18" hidden="false" customHeight="true" outlineLevel="0" collapsed="false">
      <c r="B44" s="14" t="s">
        <v>94</v>
      </c>
      <c r="C44" s="15" t="s">
        <v>95</v>
      </c>
      <c r="D44" s="16"/>
      <c r="E44" s="16"/>
      <c r="F44" s="16"/>
      <c r="G44" s="17" t="n">
        <f aca="false">D44+E44+F44</f>
        <v>0</v>
      </c>
      <c r="H44" s="25"/>
    </row>
    <row r="45" customFormat="false" ht="18" hidden="false" customHeight="true" outlineLevel="0" collapsed="false">
      <c r="B45" s="14" t="s">
        <v>96</v>
      </c>
      <c r="C45" s="15" t="s">
        <v>97</v>
      </c>
      <c r="D45" s="16"/>
      <c r="E45" s="16"/>
      <c r="F45" s="16"/>
      <c r="G45" s="17" t="n">
        <f aca="false">D45+E45+F45</f>
        <v>0</v>
      </c>
      <c r="H45" s="25"/>
    </row>
    <row r="46" customFormat="false" ht="18" hidden="false" customHeight="true" outlineLevel="0" collapsed="false">
      <c r="B46" s="14" t="s">
        <v>98</v>
      </c>
      <c r="C46" s="15" t="s">
        <v>99</v>
      </c>
      <c r="D46" s="16"/>
      <c r="E46" s="16"/>
      <c r="F46" s="16"/>
      <c r="G46" s="17" t="n">
        <f aca="false">D46+E46+F46</f>
        <v>0</v>
      </c>
      <c r="H46" s="25"/>
    </row>
    <row r="47" customFormat="false" ht="19.5" hidden="false" customHeight="true" outlineLevel="0" collapsed="false">
      <c r="B47" s="52"/>
      <c r="C47" s="53" t="s">
        <v>100</v>
      </c>
      <c r="D47" s="54" t="n">
        <f aca="false">SUM(D43:D46)</f>
        <v>0</v>
      </c>
      <c r="E47" s="54" t="n">
        <f aca="false">SUM(E43:E46)</f>
        <v>0</v>
      </c>
      <c r="F47" s="54" t="n">
        <f aca="false">SUM(F43:F46)</f>
        <v>0</v>
      </c>
      <c r="G47" s="54" t="n">
        <f aca="false">D47+E47+F47</f>
        <v>0</v>
      </c>
      <c r="H47" s="55" t="n">
        <f aca="false">IFERROR(G47/$G$8,0)</f>
        <v>0</v>
      </c>
    </row>
    <row r="49" customFormat="false" ht="36" hidden="false" customHeight="true" outlineLevel="0" collapsed="false">
      <c r="B49" s="56"/>
      <c r="C49" s="57" t="s">
        <v>101</v>
      </c>
      <c r="D49" s="58" t="n">
        <f aca="false">D33-D40-D47</f>
        <v>0</v>
      </c>
      <c r="E49" s="58" t="n">
        <f aca="false">E33-E40-E47</f>
        <v>0</v>
      </c>
      <c r="F49" s="58" t="n">
        <f aca="false">F33-F40-F47</f>
        <v>0</v>
      </c>
      <c r="G49" s="58" t="n">
        <f aca="false">D49+E49+F49</f>
        <v>0</v>
      </c>
      <c r="H49" s="59" t="n">
        <f aca="false">IFERROR(G49/$G$8,0)</f>
        <v>0</v>
      </c>
    </row>
    <row r="50" customFormat="false" ht="19.5" hidden="false" customHeight="true" outlineLevel="0" collapsed="false">
      <c r="B50" s="25"/>
      <c r="C50" s="60" t="s">
        <v>102</v>
      </c>
      <c r="D50" s="61" t="n">
        <f aca="false">IFERROR(D49/D8,0)</f>
        <v>0</v>
      </c>
      <c r="E50" s="61" t="n">
        <f aca="false">IFERROR(E49/E8,0)</f>
        <v>0</v>
      </c>
      <c r="F50" s="61" t="n">
        <f aca="false">IFERROR(F49/F8,0)</f>
        <v>0</v>
      </c>
      <c r="G50" s="61" t="n">
        <f aca="false">IFERROR(G49/G8,0)</f>
        <v>0</v>
      </c>
      <c r="H50" s="25"/>
    </row>
  </sheetData>
  <mergeCells count="6">
    <mergeCell ref="B2:H2"/>
    <mergeCell ref="B5:H5"/>
    <mergeCell ref="B11:H11"/>
    <mergeCell ref="B19:H19"/>
    <mergeCell ref="B36:H36"/>
    <mergeCell ref="B42: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5" min="3" style="0" width="18"/>
    <col collapsed="false" customWidth="true" hidden="false" outlineLevel="0" max="6" min="6" style="0" width="14"/>
  </cols>
  <sheetData>
    <row r="2" customFormat="false" ht="27.75" hidden="false" customHeight="true" outlineLevel="0" collapsed="false">
      <c r="B2" s="62" t="s">
        <v>103</v>
      </c>
      <c r="C2" s="62"/>
      <c r="D2" s="62"/>
      <c r="E2" s="62"/>
      <c r="F2" s="62"/>
    </row>
    <row r="4" customFormat="false" ht="25.5" hidden="false" customHeight="true" outlineLevel="0" collapsed="false">
      <c r="B4" s="12" t="s">
        <v>104</v>
      </c>
      <c r="C4" s="12" t="s">
        <v>32</v>
      </c>
      <c r="D4" s="12" t="s">
        <v>33</v>
      </c>
      <c r="E4" s="12" t="s">
        <v>34</v>
      </c>
      <c r="F4" s="12" t="s">
        <v>105</v>
      </c>
    </row>
    <row r="5" customFormat="false" ht="18" hidden="false" customHeight="true" outlineLevel="0" collapsed="false">
      <c r="B5" s="15" t="s">
        <v>106</v>
      </c>
      <c r="C5" s="16"/>
      <c r="D5" s="16"/>
      <c r="E5" s="16"/>
      <c r="F5" s="63" t="n">
        <f aca="false">SUM(C5:E5)</f>
        <v>0</v>
      </c>
    </row>
    <row r="6" customFormat="false" ht="18" hidden="false" customHeight="true" outlineLevel="0" collapsed="false">
      <c r="B6" s="15" t="s">
        <v>107</v>
      </c>
      <c r="C6" s="16"/>
      <c r="D6" s="16"/>
      <c r="E6" s="16"/>
      <c r="F6" s="63" t="n">
        <f aca="false">SUM(C6:E6)</f>
        <v>0</v>
      </c>
    </row>
    <row r="7" customFormat="false" ht="18" hidden="false" customHeight="true" outlineLevel="0" collapsed="false">
      <c r="B7" s="15" t="s">
        <v>108</v>
      </c>
      <c r="C7" s="16"/>
      <c r="D7" s="16"/>
      <c r="E7" s="16"/>
      <c r="F7" s="63" t="n">
        <f aca="false">SUM(C7:E7)</f>
        <v>0</v>
      </c>
    </row>
    <row r="8" customFormat="false" ht="18" hidden="false" customHeight="true" outlineLevel="0" collapsed="false">
      <c r="B8" s="15" t="s">
        <v>109</v>
      </c>
      <c r="C8" s="16"/>
      <c r="D8" s="16"/>
      <c r="E8" s="16"/>
      <c r="F8" s="63" t="n">
        <f aca="false">SUM(C8:E8)</f>
        <v>0</v>
      </c>
    </row>
    <row r="9" customFormat="false" ht="18" hidden="false" customHeight="true" outlineLevel="0" collapsed="false">
      <c r="B9" s="15" t="s">
        <v>110</v>
      </c>
      <c r="C9" s="16"/>
      <c r="D9" s="16"/>
      <c r="E9" s="16"/>
      <c r="F9" s="63" t="n">
        <f aca="false">SUM(C9:E9)</f>
        <v>0</v>
      </c>
    </row>
    <row r="10" customFormat="false" ht="18" hidden="false" customHeight="true" outlineLevel="0" collapsed="false">
      <c r="B10" s="15" t="s">
        <v>111</v>
      </c>
      <c r="C10" s="16"/>
      <c r="D10" s="16"/>
      <c r="E10" s="16"/>
      <c r="F10" s="63" t="n">
        <f aca="false">SUM(C10:E10)</f>
        <v>0</v>
      </c>
    </row>
    <row r="11" customFormat="false" ht="21.75" hidden="false" customHeight="true" outlineLevel="0" collapsed="false">
      <c r="B11" s="64" t="s">
        <v>42</v>
      </c>
      <c r="C11" s="65" t="n">
        <f aca="false">SUM(C5:C10)</f>
        <v>0</v>
      </c>
      <c r="D11" s="65" t="n">
        <f aca="false">SUM(D5:D10)</f>
        <v>0</v>
      </c>
      <c r="E11" s="65" t="n">
        <f aca="false">SUM(E5:E10)</f>
        <v>0</v>
      </c>
      <c r="F11" s="65" t="n">
        <f aca="false">SUM(F5:F10)</f>
        <v>0</v>
      </c>
    </row>
    <row r="13" customFormat="false" ht="15" hidden="false" customHeight="true" outlineLevel="0" collapsed="false">
      <c r="B13" s="66" t="s">
        <v>112</v>
      </c>
      <c r="C13" s="66"/>
      <c r="D13" s="66"/>
      <c r="E13" s="66"/>
      <c r="F13" s="66"/>
    </row>
    <row r="14" customFormat="false" ht="18" hidden="false" customHeight="true" outlineLevel="0" collapsed="false">
      <c r="B14" s="15" t="s">
        <v>113</v>
      </c>
      <c r="C14" s="25"/>
      <c r="D14" s="25"/>
      <c r="E14" s="25"/>
      <c r="F14" s="67" t="n">
        <f aca="false">'Estado de Resultados'!G8</f>
        <v>0</v>
      </c>
    </row>
    <row r="15" customFormat="false" ht="18" hidden="false" customHeight="true" outlineLevel="0" collapsed="false">
      <c r="B15" s="15" t="s">
        <v>114</v>
      </c>
      <c r="C15" s="25"/>
      <c r="D15" s="25"/>
      <c r="E15" s="25"/>
      <c r="F15" s="67" t="n">
        <f aca="false">F11</f>
        <v>0</v>
      </c>
    </row>
    <row r="16" customFormat="false" ht="18" hidden="false" customHeight="true" outlineLevel="0" collapsed="false">
      <c r="B16" s="15" t="s">
        <v>115</v>
      </c>
      <c r="C16" s="25"/>
      <c r="D16" s="25"/>
      <c r="E16" s="25"/>
      <c r="F16" s="67" t="n">
        <f aca="false">F11-'Estado de Resultados'!G8</f>
        <v>0</v>
      </c>
    </row>
    <row r="18" customFormat="false" ht="15" hidden="false" customHeight="true" outlineLevel="0" collapsed="false">
      <c r="B18" s="68" t="s">
        <v>116</v>
      </c>
      <c r="C18" s="68"/>
      <c r="D18" s="68"/>
      <c r="E18" s="68"/>
      <c r="F18" s="68"/>
    </row>
  </sheetData>
  <mergeCells count="6">
    <mergeCell ref="B2:F2"/>
    <mergeCell ref="B13:F13"/>
    <mergeCell ref="C14:E14"/>
    <mergeCell ref="C15:E15"/>
    <mergeCell ref="C16:E16"/>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2"/>
    <col collapsed="false" customWidth="true" hidden="false" outlineLevel="0" max="6" min="4" style="0" width="18"/>
    <col collapsed="false" customWidth="true" hidden="false" outlineLevel="0" max="7" min="7" style="0" width="14"/>
  </cols>
  <sheetData>
    <row r="2" customFormat="false" ht="27.75" hidden="false" customHeight="true" outlineLevel="0" collapsed="false">
      <c r="B2" s="69" t="s">
        <v>117</v>
      </c>
      <c r="C2" s="69"/>
      <c r="D2" s="69"/>
      <c r="E2" s="69"/>
      <c r="F2" s="69"/>
      <c r="G2" s="69"/>
    </row>
    <row r="4" customFormat="false" ht="25.5" hidden="false" customHeight="true" outlineLevel="0" collapsed="false">
      <c r="B4" s="12" t="s">
        <v>118</v>
      </c>
      <c r="C4" s="12" t="s">
        <v>119</v>
      </c>
      <c r="D4" s="12" t="s">
        <v>32</v>
      </c>
      <c r="E4" s="12" t="s">
        <v>33</v>
      </c>
      <c r="F4" s="12" t="s">
        <v>34</v>
      </c>
      <c r="G4" s="12" t="s">
        <v>105</v>
      </c>
    </row>
    <row r="5" customFormat="false" ht="16.5" hidden="false" customHeight="true" outlineLevel="0" collapsed="false">
      <c r="B5" s="70" t="s">
        <v>120</v>
      </c>
      <c r="C5" s="15" t="s">
        <v>121</v>
      </c>
      <c r="D5" s="16"/>
      <c r="E5" s="16"/>
      <c r="F5" s="16"/>
      <c r="G5" s="63" t="n">
        <f aca="false">SUM(D5:F5)</f>
        <v>0</v>
      </c>
    </row>
    <row r="6" customFormat="false" ht="16.5" hidden="false" customHeight="true" outlineLevel="0" collapsed="false">
      <c r="B6" s="71" t="s">
        <v>122</v>
      </c>
      <c r="C6" s="15" t="s">
        <v>123</v>
      </c>
      <c r="D6" s="16"/>
      <c r="E6" s="16"/>
      <c r="F6" s="16"/>
      <c r="G6" s="63" t="n">
        <f aca="false">SUM(D6:F6)</f>
        <v>0</v>
      </c>
    </row>
    <row r="7" customFormat="false" ht="16.5" hidden="false" customHeight="true" outlineLevel="0" collapsed="false">
      <c r="B7" s="72"/>
      <c r="C7" s="15" t="s">
        <v>124</v>
      </c>
      <c r="D7" s="16"/>
      <c r="E7" s="16"/>
      <c r="F7" s="16"/>
      <c r="G7" s="63" t="n">
        <f aca="false">SUM(D7:F7)</f>
        <v>0</v>
      </c>
    </row>
    <row r="8" customFormat="false" ht="16.5" hidden="false" customHeight="true" outlineLevel="0" collapsed="false">
      <c r="B8" s="72"/>
      <c r="C8" s="15" t="s">
        <v>125</v>
      </c>
      <c r="D8" s="16"/>
      <c r="E8" s="16"/>
      <c r="F8" s="16"/>
      <c r="G8" s="63" t="n">
        <f aca="false">SUM(D8:F8)</f>
        <v>0</v>
      </c>
    </row>
    <row r="9" customFormat="false" ht="16.5" hidden="false" customHeight="true" outlineLevel="0" collapsed="false">
      <c r="B9" s="72"/>
      <c r="C9" s="15" t="s">
        <v>63</v>
      </c>
      <c r="D9" s="16"/>
      <c r="E9" s="16"/>
      <c r="F9" s="16"/>
      <c r="G9" s="63" t="n">
        <f aca="false">SUM(D9:F9)</f>
        <v>0</v>
      </c>
    </row>
    <row r="10" customFormat="false" ht="16.5" hidden="false" customHeight="true" outlineLevel="0" collapsed="false">
      <c r="B10" s="72"/>
      <c r="C10" s="15" t="s">
        <v>126</v>
      </c>
      <c r="D10" s="16"/>
      <c r="E10" s="16"/>
      <c r="F10" s="16"/>
      <c r="G10" s="63" t="n">
        <f aca="false">SUM(D10:F10)</f>
        <v>0</v>
      </c>
    </row>
    <row r="11" customFormat="false" ht="16.5" hidden="false" customHeight="true" outlineLevel="0" collapsed="false">
      <c r="B11" s="72"/>
      <c r="C11" s="15" t="s">
        <v>127</v>
      </c>
      <c r="D11" s="16"/>
      <c r="E11" s="16"/>
      <c r="F11" s="16"/>
      <c r="G11" s="63" t="n">
        <f aca="false">SUM(D11:F11)</f>
        <v>0</v>
      </c>
    </row>
    <row r="12" customFormat="false" ht="16.5" hidden="false" customHeight="true" outlineLevel="0" collapsed="false">
      <c r="B12" s="72"/>
      <c r="C12" s="15" t="s">
        <v>69</v>
      </c>
      <c r="D12" s="16"/>
      <c r="E12" s="16"/>
      <c r="F12" s="16"/>
      <c r="G12" s="63" t="n">
        <f aca="false">SUM(D12:F12)</f>
        <v>0</v>
      </c>
    </row>
    <row r="13" customFormat="false" ht="16.5" hidden="false" customHeight="true" outlineLevel="0" collapsed="false">
      <c r="B13" s="72"/>
      <c r="C13" s="15" t="s">
        <v>128</v>
      </c>
      <c r="D13" s="16"/>
      <c r="E13" s="16"/>
      <c r="F13" s="16"/>
      <c r="G13" s="63" t="n">
        <f aca="false">SUM(D13:F13)</f>
        <v>0</v>
      </c>
    </row>
    <row r="14" customFormat="false" ht="16.5" hidden="false" customHeight="true" outlineLevel="0" collapsed="false">
      <c r="B14" s="72"/>
      <c r="C14" s="15" t="s">
        <v>129</v>
      </c>
      <c r="D14" s="16"/>
      <c r="E14" s="16"/>
      <c r="F14" s="16"/>
      <c r="G14" s="63" t="n">
        <f aca="false">SUM(D14:F14)</f>
        <v>0</v>
      </c>
    </row>
    <row r="15" customFormat="false" ht="16.5" hidden="false" customHeight="true" outlineLevel="0" collapsed="false">
      <c r="B15" s="72"/>
      <c r="C15" s="15" t="s">
        <v>75</v>
      </c>
      <c r="D15" s="16"/>
      <c r="E15" s="16"/>
      <c r="F15" s="16"/>
      <c r="G15" s="63" t="n">
        <f aca="false">SUM(D15:F15)</f>
        <v>0</v>
      </c>
    </row>
    <row r="16" customFormat="false" ht="16.5" hidden="false" customHeight="true" outlineLevel="0" collapsed="false">
      <c r="B16" s="72"/>
      <c r="C16" s="15" t="s">
        <v>77</v>
      </c>
      <c r="D16" s="16"/>
      <c r="E16" s="16"/>
      <c r="F16" s="16"/>
      <c r="G16" s="63" t="n">
        <f aca="false">SUM(D16:F16)</f>
        <v>0</v>
      </c>
    </row>
    <row r="17" customFormat="false" ht="16.5" hidden="false" customHeight="true" outlineLevel="0" collapsed="false">
      <c r="B17" s="72"/>
      <c r="C17" s="15" t="s">
        <v>130</v>
      </c>
      <c r="D17" s="16"/>
      <c r="E17" s="16"/>
      <c r="F17" s="16"/>
      <c r="G17" s="63" t="n">
        <f aca="false">SUM(D17:F17)</f>
        <v>0</v>
      </c>
    </row>
    <row r="18" customFormat="false" ht="16.5" hidden="false" customHeight="true" outlineLevel="0" collapsed="false">
      <c r="B18" s="73" t="s">
        <v>131</v>
      </c>
      <c r="C18" s="15" t="s">
        <v>85</v>
      </c>
      <c r="D18" s="16"/>
      <c r="E18" s="16"/>
      <c r="F18" s="16"/>
      <c r="G18" s="63" t="n">
        <f aca="false">SUM(D18:F18)</f>
        <v>0</v>
      </c>
    </row>
    <row r="19" customFormat="false" ht="16.5" hidden="false" customHeight="true" outlineLevel="0" collapsed="false">
      <c r="B19" s="72"/>
      <c r="C19" s="15" t="s">
        <v>132</v>
      </c>
      <c r="D19" s="16"/>
      <c r="E19" s="16"/>
      <c r="F19" s="16"/>
      <c r="G19" s="63" t="n">
        <f aca="false">SUM(D19:F19)</f>
        <v>0</v>
      </c>
    </row>
    <row r="20" customFormat="false" ht="16.5" hidden="false" customHeight="true" outlineLevel="0" collapsed="false">
      <c r="B20" s="72"/>
      <c r="C20" s="15" t="s">
        <v>133</v>
      </c>
      <c r="D20" s="16"/>
      <c r="E20" s="16"/>
      <c r="F20" s="16"/>
      <c r="G20" s="63" t="n">
        <f aca="false">SUM(D20:F20)</f>
        <v>0</v>
      </c>
    </row>
    <row r="21" customFormat="false" ht="16.5" hidden="false" customHeight="true" outlineLevel="0" collapsed="false">
      <c r="B21" s="74" t="s">
        <v>134</v>
      </c>
      <c r="C21" s="15" t="s">
        <v>93</v>
      </c>
      <c r="D21" s="16"/>
      <c r="E21" s="16"/>
      <c r="F21" s="16"/>
      <c r="G21" s="63" t="n">
        <f aca="false">SUM(D21:F21)</f>
        <v>0</v>
      </c>
    </row>
    <row r="22" customFormat="false" ht="16.5" hidden="false" customHeight="true" outlineLevel="0" collapsed="false">
      <c r="B22" s="72"/>
      <c r="C22" s="15" t="s">
        <v>95</v>
      </c>
      <c r="D22" s="16"/>
      <c r="E22" s="16"/>
      <c r="F22" s="16"/>
      <c r="G22" s="63" t="n">
        <f aca="false">SUM(D22:F22)</f>
        <v>0</v>
      </c>
    </row>
    <row r="23" customFormat="false" ht="16.5" hidden="false" customHeight="true" outlineLevel="0" collapsed="false">
      <c r="B23" s="72"/>
      <c r="C23" s="15" t="s">
        <v>135</v>
      </c>
      <c r="D23" s="16"/>
      <c r="E23" s="16"/>
      <c r="F23" s="16"/>
      <c r="G23" s="63" t="n">
        <f aca="false">SUM(D23:F23)</f>
        <v>0</v>
      </c>
    </row>
    <row r="24" customFormat="false" ht="16.5" hidden="false" customHeight="true" outlineLevel="0" collapsed="false">
      <c r="B24" s="72"/>
      <c r="C24" s="15" t="s">
        <v>136</v>
      </c>
      <c r="D24" s="16"/>
      <c r="E24" s="16"/>
      <c r="F24" s="16"/>
      <c r="G24" s="63" t="n">
        <f aca="false">SUM(D24:F24)</f>
        <v>0</v>
      </c>
    </row>
    <row r="26" customFormat="false" ht="21.75" hidden="false" customHeight="true" outlineLevel="0" collapsed="false">
      <c r="B26" s="75" t="s">
        <v>137</v>
      </c>
      <c r="C26" s="75"/>
      <c r="D26" s="75"/>
      <c r="E26" s="75"/>
      <c r="F26" s="75"/>
      <c r="G26" s="75"/>
    </row>
    <row r="27" customFormat="false" ht="18" hidden="false" customHeight="true" outlineLevel="0" collapsed="false">
      <c r="B27" s="76" t="s">
        <v>120</v>
      </c>
      <c r="C27" s="76"/>
      <c r="D27" s="77" t="n">
        <f aca="false">D5</f>
        <v>0</v>
      </c>
      <c r="E27" s="77" t="n">
        <f aca="false">E5</f>
        <v>0</v>
      </c>
      <c r="F27" s="77" t="n">
        <f aca="false">F5</f>
        <v>0</v>
      </c>
      <c r="G27" s="77" t="n">
        <f aca="false">G5</f>
        <v>0</v>
      </c>
    </row>
    <row r="28" customFormat="false" ht="18" hidden="false" customHeight="true" outlineLevel="0" collapsed="false">
      <c r="B28" s="76" t="s">
        <v>122</v>
      </c>
      <c r="C28" s="76"/>
      <c r="D28" s="77" t="n">
        <f aca="false">D6+D7+D8+D9+D10+D11+D12+D13+D14+D15+D16+D17</f>
        <v>0</v>
      </c>
      <c r="E28" s="77" t="n">
        <f aca="false">E6+E7+E8+E9+E10+E11+E12+E13+E14+E15+E16+E17</f>
        <v>0</v>
      </c>
      <c r="F28" s="77" t="n">
        <f aca="false">F6+F7+F8+F9+F10+F11+F12+F13+F14+F15+F16+F17</f>
        <v>0</v>
      </c>
      <c r="G28" s="77" t="n">
        <f aca="false">G6+G7+G8+G9+G10+G11+G12+G13+G14+G15+G16+G17</f>
        <v>0</v>
      </c>
    </row>
    <row r="29" customFormat="false" ht="18" hidden="false" customHeight="true" outlineLevel="0" collapsed="false">
      <c r="B29" s="76" t="s">
        <v>131</v>
      </c>
      <c r="C29" s="76"/>
      <c r="D29" s="77" t="n">
        <f aca="false">D18+D19+D20</f>
        <v>0</v>
      </c>
      <c r="E29" s="77" t="n">
        <f aca="false">E18+E19+E20</f>
        <v>0</v>
      </c>
      <c r="F29" s="77" t="n">
        <f aca="false">F18+F19+F20</f>
        <v>0</v>
      </c>
      <c r="G29" s="77" t="n">
        <f aca="false">G18+G19+G20</f>
        <v>0</v>
      </c>
    </row>
    <row r="30" customFormat="false" ht="18" hidden="false" customHeight="true" outlineLevel="0" collapsed="false">
      <c r="B30" s="76" t="s">
        <v>134</v>
      </c>
      <c r="C30" s="76"/>
      <c r="D30" s="77" t="n">
        <f aca="false">D21+D22+D23+D24</f>
        <v>0</v>
      </c>
      <c r="E30" s="77" t="n">
        <f aca="false">E21+E22+E23+E24</f>
        <v>0</v>
      </c>
      <c r="F30" s="77" t="n">
        <f aca="false">F21+F22+F23+F24</f>
        <v>0</v>
      </c>
      <c r="G30" s="77" t="n">
        <f aca="false">G21+G22+G23+G24</f>
        <v>0</v>
      </c>
    </row>
    <row r="31" customFormat="false" ht="24" hidden="false" customHeight="true" outlineLevel="0" collapsed="false">
      <c r="B31" s="78" t="s">
        <v>138</v>
      </c>
      <c r="C31" s="78"/>
      <c r="D31" s="79" t="n">
        <f aca="false">SUM(D5:D24)</f>
        <v>0</v>
      </c>
      <c r="E31" s="79" t="n">
        <f aca="false">SUM(E5:E24)</f>
        <v>0</v>
      </c>
      <c r="F31" s="79" t="n">
        <f aca="false">SUM(F5:F24)</f>
        <v>0</v>
      </c>
      <c r="G31" s="79" t="n">
        <f aca="false">SUM(G5:G24)</f>
        <v>0</v>
      </c>
    </row>
  </sheetData>
  <mergeCells count="7">
    <mergeCell ref="B2:G2"/>
    <mergeCell ref="B26:G26"/>
    <mergeCell ref="B27:C27"/>
    <mergeCell ref="B28:C28"/>
    <mergeCell ref="B29:C29"/>
    <mergeCell ref="B30:C30"/>
    <mergeCell ref="B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8"/>
    <col collapsed="false" customWidth="true" hidden="false" outlineLevel="0" max="4" min="4" style="0" width="22"/>
    <col collapsed="false" customWidth="true" hidden="false" outlineLevel="0" max="5" min="5" style="0" width="60"/>
  </cols>
  <sheetData>
    <row r="2" customFormat="false" ht="27.75" hidden="false" customHeight="true" outlineLevel="0" collapsed="false">
      <c r="B2" s="80" t="s">
        <v>139</v>
      </c>
      <c r="C2" s="80"/>
      <c r="D2" s="80"/>
      <c r="E2" s="80"/>
    </row>
    <row r="4" customFormat="false" ht="24" hidden="false" customHeight="true" outlineLevel="0" collapsed="false">
      <c r="B4" s="12" t="s">
        <v>140</v>
      </c>
      <c r="C4" s="12" t="s">
        <v>141</v>
      </c>
      <c r="D4" s="12" t="s">
        <v>142</v>
      </c>
      <c r="E4" s="12" t="s">
        <v>143</v>
      </c>
    </row>
    <row r="5" customFormat="false" ht="21.75" hidden="false" customHeight="true" outlineLevel="0" collapsed="false">
      <c r="B5" s="81" t="s">
        <v>38</v>
      </c>
      <c r="C5" s="82" t="s">
        <v>144</v>
      </c>
      <c r="D5" s="83" t="s">
        <v>145</v>
      </c>
      <c r="E5" s="83" t="s">
        <v>146</v>
      </c>
    </row>
    <row r="6" customFormat="false" ht="21.75" hidden="false" customHeight="true" outlineLevel="0" collapsed="false">
      <c r="B6" s="84" t="s">
        <v>40</v>
      </c>
      <c r="C6" s="85" t="s">
        <v>125</v>
      </c>
      <c r="D6" s="86" t="s">
        <v>147</v>
      </c>
      <c r="E6" s="86" t="s">
        <v>148</v>
      </c>
    </row>
    <row r="7" customFormat="false" ht="21.75" hidden="false" customHeight="true" outlineLevel="0" collapsed="false">
      <c r="B7" s="81" t="s">
        <v>149</v>
      </c>
      <c r="C7" s="82" t="s">
        <v>150</v>
      </c>
      <c r="D7" s="83" t="s">
        <v>151</v>
      </c>
      <c r="E7" s="83" t="s">
        <v>152</v>
      </c>
    </row>
    <row r="8" customFormat="false" ht="21.75" hidden="false" customHeight="true" outlineLevel="0" collapsed="false">
      <c r="B8" s="84" t="s">
        <v>153</v>
      </c>
      <c r="C8" s="85" t="s">
        <v>154</v>
      </c>
      <c r="D8" s="86" t="s">
        <v>155</v>
      </c>
      <c r="E8" s="86" t="s">
        <v>156</v>
      </c>
    </row>
    <row r="9" customFormat="false" ht="21.75" hidden="false" customHeight="true" outlineLevel="0" collapsed="false">
      <c r="B9" s="81" t="s">
        <v>46</v>
      </c>
      <c r="C9" s="82" t="s">
        <v>157</v>
      </c>
      <c r="D9" s="83" t="s">
        <v>158</v>
      </c>
      <c r="E9" s="83" t="s">
        <v>159</v>
      </c>
    </row>
    <row r="10" customFormat="false" ht="21.75" hidden="false" customHeight="true" outlineLevel="0" collapsed="false">
      <c r="B10" s="84" t="s">
        <v>48</v>
      </c>
      <c r="C10" s="85" t="s">
        <v>160</v>
      </c>
      <c r="D10" s="86" t="s">
        <v>161</v>
      </c>
      <c r="E10" s="86" t="s">
        <v>162</v>
      </c>
    </row>
    <row r="11" customFormat="false" ht="21.75" hidden="false" customHeight="true" outlineLevel="0" collapsed="false">
      <c r="B11" s="81" t="s">
        <v>50</v>
      </c>
      <c r="C11" s="82" t="s">
        <v>163</v>
      </c>
      <c r="D11" s="83" t="s">
        <v>164</v>
      </c>
      <c r="E11" s="83" t="s">
        <v>165</v>
      </c>
    </row>
    <row r="12" customFormat="false" ht="21.75" hidden="false" customHeight="true" outlineLevel="0" collapsed="false">
      <c r="B12" s="84" t="s">
        <v>56</v>
      </c>
      <c r="C12" s="85" t="s">
        <v>166</v>
      </c>
      <c r="D12" s="86" t="s">
        <v>167</v>
      </c>
      <c r="E12" s="86" t="s">
        <v>168</v>
      </c>
    </row>
    <row r="13" customFormat="false" ht="21.75" hidden="false" customHeight="true" outlineLevel="0" collapsed="false">
      <c r="B13" s="81" t="s">
        <v>58</v>
      </c>
      <c r="C13" s="82" t="s">
        <v>124</v>
      </c>
      <c r="D13" s="83" t="s">
        <v>169</v>
      </c>
      <c r="E13" s="83" t="s">
        <v>170</v>
      </c>
    </row>
    <row r="14" customFormat="false" ht="21.75" hidden="false" customHeight="true" outlineLevel="0" collapsed="false">
      <c r="B14" s="84" t="s">
        <v>60</v>
      </c>
      <c r="C14" s="85" t="s">
        <v>125</v>
      </c>
      <c r="D14" s="86" t="s">
        <v>171</v>
      </c>
      <c r="E14" s="86" t="s">
        <v>172</v>
      </c>
    </row>
    <row r="15" customFormat="false" ht="21.75" hidden="false" customHeight="true" outlineLevel="0" collapsed="false">
      <c r="B15" s="81" t="s">
        <v>62</v>
      </c>
      <c r="C15" s="82" t="s">
        <v>63</v>
      </c>
      <c r="D15" s="83" t="s">
        <v>173</v>
      </c>
      <c r="E15" s="83" t="s">
        <v>174</v>
      </c>
    </row>
    <row r="16" customFormat="false" ht="21.75" hidden="false" customHeight="true" outlineLevel="0" collapsed="false">
      <c r="B16" s="84" t="s">
        <v>64</v>
      </c>
      <c r="C16" s="85" t="s">
        <v>126</v>
      </c>
      <c r="D16" s="86" t="s">
        <v>175</v>
      </c>
      <c r="E16" s="86" t="s">
        <v>176</v>
      </c>
    </row>
    <row r="17" customFormat="false" ht="21.75" hidden="false" customHeight="true" outlineLevel="0" collapsed="false">
      <c r="B17" s="81" t="s">
        <v>66</v>
      </c>
      <c r="C17" s="82" t="s">
        <v>127</v>
      </c>
      <c r="D17" s="83" t="s">
        <v>177</v>
      </c>
      <c r="E17" s="83" t="s">
        <v>178</v>
      </c>
    </row>
    <row r="18" customFormat="false" ht="21.75" hidden="false" customHeight="true" outlineLevel="0" collapsed="false">
      <c r="B18" s="84" t="s">
        <v>68</v>
      </c>
      <c r="C18" s="85" t="s">
        <v>69</v>
      </c>
      <c r="D18" s="86" t="s">
        <v>179</v>
      </c>
      <c r="E18" s="86" t="s">
        <v>180</v>
      </c>
    </row>
    <row r="19" customFormat="false" ht="21.75" hidden="false" customHeight="true" outlineLevel="0" collapsed="false">
      <c r="B19" s="81" t="s">
        <v>70</v>
      </c>
      <c r="C19" s="82" t="s">
        <v>71</v>
      </c>
      <c r="D19" s="83" t="s">
        <v>181</v>
      </c>
      <c r="E19" s="83" t="s">
        <v>182</v>
      </c>
    </row>
    <row r="20" customFormat="false" ht="21.75" hidden="false" customHeight="true" outlineLevel="0" collapsed="false">
      <c r="B20" s="84" t="s">
        <v>72</v>
      </c>
      <c r="C20" s="85" t="s">
        <v>129</v>
      </c>
      <c r="D20" s="86" t="s">
        <v>183</v>
      </c>
      <c r="E20" s="86" t="s">
        <v>184</v>
      </c>
    </row>
    <row r="21" customFormat="false" ht="21.75" hidden="false" customHeight="true" outlineLevel="0" collapsed="false">
      <c r="B21" s="81" t="s">
        <v>74</v>
      </c>
      <c r="C21" s="82" t="s">
        <v>75</v>
      </c>
      <c r="D21" s="83" t="s">
        <v>185</v>
      </c>
      <c r="E21" s="83" t="s">
        <v>186</v>
      </c>
    </row>
    <row r="22" customFormat="false" ht="21.75" hidden="false" customHeight="true" outlineLevel="0" collapsed="false">
      <c r="B22" s="84" t="s">
        <v>76</v>
      </c>
      <c r="C22" s="85" t="s">
        <v>77</v>
      </c>
      <c r="D22" s="86" t="s">
        <v>187</v>
      </c>
      <c r="E22" s="86" t="s">
        <v>188</v>
      </c>
    </row>
    <row r="23" customFormat="false" ht="21.75" hidden="false" customHeight="true" outlineLevel="0" collapsed="false">
      <c r="B23" s="81" t="s">
        <v>78</v>
      </c>
      <c r="C23" s="82" t="s">
        <v>189</v>
      </c>
      <c r="D23" s="83" t="s">
        <v>190</v>
      </c>
      <c r="E23" s="83" t="s">
        <v>191</v>
      </c>
    </row>
    <row r="24" customFormat="false" ht="21.75" hidden="false" customHeight="true" outlineLevel="0" collapsed="false">
      <c r="B24" s="84" t="s">
        <v>84</v>
      </c>
      <c r="C24" s="85" t="s">
        <v>85</v>
      </c>
      <c r="D24" s="86" t="s">
        <v>192</v>
      </c>
      <c r="E24" s="86" t="s">
        <v>193</v>
      </c>
    </row>
    <row r="25" customFormat="false" ht="21.75" hidden="false" customHeight="true" outlineLevel="0" collapsed="false">
      <c r="B25" s="81" t="s">
        <v>86</v>
      </c>
      <c r="C25" s="82" t="s">
        <v>132</v>
      </c>
      <c r="D25" s="83" t="s">
        <v>194</v>
      </c>
      <c r="E25" s="83" t="s">
        <v>195</v>
      </c>
    </row>
    <row r="26" customFormat="false" ht="21.75" hidden="false" customHeight="true" outlineLevel="0" collapsed="false">
      <c r="B26" s="84" t="s">
        <v>88</v>
      </c>
      <c r="C26" s="85" t="s">
        <v>133</v>
      </c>
      <c r="D26" s="86" t="s">
        <v>196</v>
      </c>
      <c r="E26" s="86" t="s">
        <v>197</v>
      </c>
    </row>
    <row r="27" customFormat="false" ht="21.75" hidden="false" customHeight="true" outlineLevel="0" collapsed="false">
      <c r="B27" s="81" t="s">
        <v>92</v>
      </c>
      <c r="C27" s="82" t="s">
        <v>93</v>
      </c>
      <c r="D27" s="83" t="s">
        <v>198</v>
      </c>
      <c r="E27" s="83" t="s">
        <v>199</v>
      </c>
    </row>
    <row r="28" customFormat="false" ht="21.75" hidden="false" customHeight="true" outlineLevel="0" collapsed="false">
      <c r="B28" s="84" t="s">
        <v>94</v>
      </c>
      <c r="C28" s="85" t="s">
        <v>95</v>
      </c>
      <c r="D28" s="86" t="s">
        <v>200</v>
      </c>
      <c r="E28" s="86" t="s">
        <v>201</v>
      </c>
    </row>
    <row r="29" customFormat="false" ht="21.75" hidden="false" customHeight="true" outlineLevel="0" collapsed="false">
      <c r="B29" s="81" t="s">
        <v>96</v>
      </c>
      <c r="C29" s="82" t="s">
        <v>135</v>
      </c>
      <c r="D29" s="83" t="s">
        <v>200</v>
      </c>
      <c r="E29" s="83" t="s">
        <v>202</v>
      </c>
    </row>
    <row r="30" customFormat="false" ht="21.75" hidden="false" customHeight="true" outlineLevel="0" collapsed="false">
      <c r="B30" s="84" t="s">
        <v>98</v>
      </c>
      <c r="C30" s="85" t="s">
        <v>136</v>
      </c>
      <c r="D30" s="86" t="s">
        <v>203</v>
      </c>
      <c r="E30" s="86" t="s">
        <v>204</v>
      </c>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10"/>
    <col collapsed="false" customWidth="true" hidden="false" outlineLevel="0" max="3" min="3" style="0" width="3"/>
  </cols>
  <sheetData>
    <row r="2" customFormat="false" ht="30" hidden="false" customHeight="true" outlineLevel="0" collapsed="false">
      <c r="B2" s="87" t="s">
        <v>205</v>
      </c>
    </row>
    <row r="4" customFormat="false" ht="21.75" hidden="false" customHeight="true" outlineLevel="0" collapsed="false">
      <c r="B4" s="88" t="s">
        <v>206</v>
      </c>
    </row>
    <row r="5" customFormat="false" ht="63.75" hidden="false" customHeight="true" outlineLevel="0" collapsed="false">
      <c r="B5" s="89" t="s">
        <v>207</v>
      </c>
    </row>
    <row r="6" customFormat="false" ht="7.5" hidden="false" customHeight="true" outlineLevel="0" collapsed="false"/>
    <row r="7" customFormat="false" ht="21.75" hidden="false" customHeight="true" outlineLevel="0" collapsed="false">
      <c r="B7" s="88" t="s">
        <v>208</v>
      </c>
    </row>
    <row r="8" customFormat="false" ht="63.75" hidden="false" customHeight="true" outlineLevel="0" collapsed="false">
      <c r="B8" s="89" t="s">
        <v>209</v>
      </c>
    </row>
    <row r="9" customFormat="false" ht="7.5" hidden="false" customHeight="true" outlineLevel="0" collapsed="false"/>
    <row r="10" customFormat="false" ht="21.75" hidden="false" customHeight="true" outlineLevel="0" collapsed="false">
      <c r="B10" s="88" t="s">
        <v>210</v>
      </c>
    </row>
    <row r="11" customFormat="false" ht="18" hidden="false" customHeight="true" outlineLevel="0" collapsed="false">
      <c r="B11" s="89" t="s">
        <v>211</v>
      </c>
    </row>
    <row r="12" customFormat="false" ht="18" hidden="false" customHeight="true" outlineLevel="0" collapsed="false">
      <c r="B12" s="89" t="s">
        <v>212</v>
      </c>
    </row>
    <row r="13" customFormat="false" ht="18" hidden="false" customHeight="true" outlineLevel="0" collapsed="false">
      <c r="B13" s="89" t="s">
        <v>213</v>
      </c>
    </row>
    <row r="14" customFormat="false" ht="31.5" hidden="false" customHeight="true" outlineLevel="0" collapsed="false">
      <c r="B14" s="89" t="s">
        <v>214</v>
      </c>
    </row>
    <row r="15" customFormat="false" ht="31.5" hidden="false" customHeight="true" outlineLevel="0" collapsed="false">
      <c r="B15" s="89" t="s">
        <v>215</v>
      </c>
    </row>
    <row r="16" customFormat="false" ht="7.5" hidden="false" customHeight="true" outlineLevel="0" collapsed="false"/>
    <row r="17" customFormat="false" ht="21.75" hidden="false" customHeight="true" outlineLevel="0" collapsed="false">
      <c r="B17" s="88" t="s">
        <v>216</v>
      </c>
    </row>
    <row r="18" customFormat="false" ht="18" hidden="false" customHeight="true" outlineLevel="0" collapsed="false">
      <c r="B18" s="89" t="s">
        <v>217</v>
      </c>
    </row>
    <row r="19" customFormat="false" ht="18" hidden="false" customHeight="true" outlineLevel="0" collapsed="false">
      <c r="B19" s="89" t="s">
        <v>218</v>
      </c>
    </row>
    <row r="20" customFormat="false" ht="18" hidden="false" customHeight="true" outlineLevel="0" collapsed="false">
      <c r="B20" s="89" t="s">
        <v>219</v>
      </c>
    </row>
    <row r="21" customFormat="false" ht="18" hidden="false" customHeight="true" outlineLevel="0" collapsed="false">
      <c r="B21" s="89" t="s">
        <v>220</v>
      </c>
    </row>
    <row r="22" customFormat="false" ht="7.5" hidden="false" customHeight="true" outlineLevel="0" collapsed="false"/>
    <row r="23" customFormat="false" ht="21.75" hidden="false" customHeight="true" outlineLevel="0" collapsed="false">
      <c r="B23" s="88" t="s">
        <v>221</v>
      </c>
    </row>
    <row r="24" customFormat="false" ht="31.5" hidden="false" customHeight="true" outlineLevel="0" collapsed="false">
      <c r="B24" s="89" t="s">
        <v>222</v>
      </c>
    </row>
    <row r="25" customFormat="false" ht="31.5" hidden="false" customHeight="true" outlineLevel="0" collapsed="false">
      <c r="B25" s="89" t="s">
        <v>223</v>
      </c>
    </row>
    <row r="26" customFormat="false" ht="18" hidden="false" customHeight="true" outlineLevel="0" collapsed="false">
      <c r="B26" s="89" t="s">
        <v>224</v>
      </c>
    </row>
    <row r="27" customFormat="false" ht="18" hidden="false" customHeight="true" outlineLevel="0" collapsed="false">
      <c r="B27" s="89" t="s">
        <v>225</v>
      </c>
    </row>
    <row r="28" customFormat="false" ht="18" hidden="false" customHeight="true" outlineLevel="0" collapsed="false">
      <c r="B28" s="89" t="s">
        <v>226</v>
      </c>
    </row>
    <row r="29" customFormat="false" ht="7.5" hidden="false" customHeight="true" outlineLevel="0" collapsed="false"/>
    <row r="30" customFormat="false" ht="21.75" hidden="false" customHeight="true" outlineLevel="0" collapsed="false">
      <c r="B30" s="88" t="s">
        <v>227</v>
      </c>
    </row>
    <row r="31" customFormat="false" ht="18" hidden="false" customHeight="true" outlineLevel="0" collapsed="false">
      <c r="B31" s="89" t="s">
        <v>228</v>
      </c>
    </row>
    <row r="32" customFormat="false" ht="18" hidden="false" customHeight="true" outlineLevel="0" collapsed="false">
      <c r="B32" s="89" t="s">
        <v>229</v>
      </c>
    </row>
    <row r="33" customFormat="false" ht="18" hidden="false" customHeight="true" outlineLevel="0" collapsed="false">
      <c r="B33" s="89" t="s">
        <v>230</v>
      </c>
    </row>
    <row r="34" customFormat="false" ht="18" hidden="false" customHeight="true" outlineLevel="0" collapsed="false">
      <c r="B34" s="89" t="s">
        <v>231</v>
      </c>
    </row>
    <row r="35" customFormat="false" ht="18" hidden="false" customHeight="true" outlineLevel="0" collapsed="false">
      <c r="B35" s="89" t="s">
        <v>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2026-04-30T18:18:24Z</dcterms:created>
  <dc:creator>openpyxl</dc:creator>
  <dc:description/>
  <dc:language>en-US</dc:language>
  <cp:lastModifiedBy/>
  <dcterms:modified xsi:type="dcterms:W3CDTF">2026-04-30T18:18:24Z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